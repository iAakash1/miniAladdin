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44F907F2-9D3E-4BBC-AC60-2F8B939A1AF5}" xr6:coauthVersionLast="47" xr6:coauthVersionMax="47" xr10:uidLastSave="{00000000-0000-0000-0000-000000000000}"/>
  <bookViews>
    <workbookView xWindow="-110" yWindow="-110" windowWidth="19420" windowHeight="10300" activeTab="1" xr2:uid="{9EDE7B00-59FC-4F42-A2F4-9E12A867CFFD}"/>
  </bookViews>
  <sheets>
    <sheet name="Master Portfolio" sheetId="1" r:id="rId1"/>
    <sheet name="Portfolio Performanc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" i="1" l="1"/>
  <c r="B179" i="1"/>
  <c r="B155" i="1"/>
  <c r="C131" i="1"/>
  <c r="L14" i="6"/>
  <c r="K14" i="6"/>
  <c r="J14" i="6"/>
  <c r="I14" i="6"/>
  <c r="C14" i="6"/>
  <c r="D14" i="6"/>
  <c r="E14" i="6"/>
  <c r="C200" i="1"/>
  <c r="I125" i="6"/>
  <c r="B128" i="6"/>
  <c r="B127" i="6"/>
  <c r="I124" i="6"/>
  <c r="K124" i="6" s="1"/>
  <c r="I120" i="6"/>
  <c r="K120" i="6" s="1"/>
  <c r="B125" i="6"/>
  <c r="D125" i="6" s="1"/>
  <c r="B124" i="6"/>
  <c r="D124" i="6" s="1"/>
  <c r="I122" i="6"/>
  <c r="K122" i="6" s="1"/>
  <c r="I117" i="6"/>
  <c r="B126" i="6"/>
  <c r="D126" i="6" s="1"/>
  <c r="I115" i="6"/>
  <c r="K115" i="6" s="1"/>
  <c r="I116" i="6"/>
  <c r="K116" i="6" s="1"/>
  <c r="B123" i="6"/>
  <c r="I126" i="6"/>
  <c r="K126" i="6" s="1"/>
  <c r="B122" i="6"/>
  <c r="I121" i="6"/>
  <c r="K121" i="6" s="1"/>
  <c r="B121" i="6"/>
  <c r="D121" i="6" s="1"/>
  <c r="B120" i="6"/>
  <c r="D120" i="6" s="1"/>
  <c r="I119" i="6"/>
  <c r="K119" i="6" s="1"/>
  <c r="I118" i="6"/>
  <c r="K118" i="6" s="1"/>
  <c r="B119" i="6"/>
  <c r="D119" i="6" s="1"/>
  <c r="I123" i="6"/>
  <c r="K123" i="6" s="1"/>
  <c r="B118" i="6"/>
  <c r="D118" i="6" s="1"/>
  <c r="B117" i="6"/>
  <c r="D117" i="6" s="1"/>
  <c r="B116" i="6"/>
  <c r="B115" i="6"/>
  <c r="D115" i="6" s="1"/>
  <c r="B114" i="6"/>
  <c r="D114" i="6" s="1"/>
  <c r="I114" i="6"/>
  <c r="K114" i="6" s="1"/>
  <c r="I112" i="6"/>
  <c r="K112" i="6" s="1"/>
  <c r="I113" i="6"/>
  <c r="K113" i="6" s="1"/>
  <c r="B113" i="6"/>
  <c r="D113" i="6" s="1"/>
  <c r="K117" i="6"/>
  <c r="K125" i="6"/>
  <c r="J128" i="6"/>
  <c r="C130" i="6"/>
  <c r="D116" i="6"/>
  <c r="D122" i="6"/>
  <c r="D123" i="6"/>
  <c r="D127" i="6"/>
  <c r="D128" i="6"/>
  <c r="B112" i="6"/>
  <c r="I103" i="6"/>
  <c r="K103" i="6" s="1"/>
  <c r="I102" i="6"/>
  <c r="K102" i="6" s="1"/>
  <c r="I96" i="6"/>
  <c r="K96" i="6" s="1"/>
  <c r="I95" i="6"/>
  <c r="K95" i="6" s="1"/>
  <c r="I94" i="6"/>
  <c r="I91" i="6"/>
  <c r="I89" i="6"/>
  <c r="I88" i="6"/>
  <c r="K88" i="6" s="1"/>
  <c r="I87" i="6"/>
  <c r="K87" i="6" s="1"/>
  <c r="I86" i="6"/>
  <c r="K86" i="6" s="1"/>
  <c r="I85" i="6"/>
  <c r="K85" i="6" s="1"/>
  <c r="I84" i="6"/>
  <c r="K84" i="6" s="1"/>
  <c r="B105" i="6"/>
  <c r="D105" i="6" s="1"/>
  <c r="B104" i="6"/>
  <c r="D104" i="6" s="1"/>
  <c r="B103" i="6"/>
  <c r="D103" i="6" s="1"/>
  <c r="B102" i="6"/>
  <c r="D102" i="6" s="1"/>
  <c r="B93" i="6"/>
  <c r="D93" i="6" s="1"/>
  <c r="B92" i="6"/>
  <c r="B89" i="6"/>
  <c r="D89" i="6" s="1"/>
  <c r="I73" i="6"/>
  <c r="K73" i="6" s="1"/>
  <c r="I72" i="6"/>
  <c r="K72" i="6" s="1"/>
  <c r="I71" i="6"/>
  <c r="K71" i="6" s="1"/>
  <c r="I70" i="6"/>
  <c r="K70" i="6" s="1"/>
  <c r="I69" i="6"/>
  <c r="K69" i="6" s="1"/>
  <c r="I68" i="6"/>
  <c r="K68" i="6" s="1"/>
  <c r="I67" i="6"/>
  <c r="K67" i="6" s="1"/>
  <c r="I66" i="6"/>
  <c r="K66" i="6" s="1"/>
  <c r="I64" i="6"/>
  <c r="K64" i="6" s="1"/>
  <c r="I62" i="6"/>
  <c r="I61" i="6"/>
  <c r="K61" i="6" s="1"/>
  <c r="I60" i="6"/>
  <c r="I59" i="6"/>
  <c r="K59" i="6" s="1"/>
  <c r="I58" i="6"/>
  <c r="K58" i="6" s="1"/>
  <c r="I57" i="6"/>
  <c r="K57" i="6" s="1"/>
  <c r="I54" i="6"/>
  <c r="B77" i="6"/>
  <c r="D77" i="6" s="1"/>
  <c r="B76" i="6"/>
  <c r="D76" i="6" s="1"/>
  <c r="B75" i="6"/>
  <c r="D75" i="6" s="1"/>
  <c r="B74" i="6"/>
  <c r="D74" i="6" s="1"/>
  <c r="B73" i="6"/>
  <c r="D73" i="6" s="1"/>
  <c r="B72" i="6"/>
  <c r="B71" i="6"/>
  <c r="D71" i="6" s="1"/>
  <c r="B70" i="6"/>
  <c r="D70" i="6" s="1"/>
  <c r="B69" i="6"/>
  <c r="B66" i="6"/>
  <c r="B65" i="6"/>
  <c r="B64" i="6"/>
  <c r="D64" i="6" s="1"/>
  <c r="B63" i="6"/>
  <c r="D63" i="6" s="1"/>
  <c r="B62" i="6"/>
  <c r="D62" i="6" s="1"/>
  <c r="B61" i="6"/>
  <c r="D61" i="6" s="1"/>
  <c r="B60" i="6"/>
  <c r="D60" i="6" s="1"/>
  <c r="B57" i="6"/>
  <c r="D57" i="6" s="1"/>
  <c r="I47" i="6"/>
  <c r="K47" i="6" s="1"/>
  <c r="I45" i="6"/>
  <c r="K45" i="6" s="1"/>
  <c r="I44" i="6"/>
  <c r="K44" i="6" s="1"/>
  <c r="I43" i="6"/>
  <c r="K43" i="6" s="1"/>
  <c r="I42" i="6"/>
  <c r="I41" i="6"/>
  <c r="K41" i="6" s="1"/>
  <c r="I40" i="6"/>
  <c r="K40" i="6" s="1"/>
  <c r="I39" i="6"/>
  <c r="K39" i="6" s="1"/>
  <c r="I38" i="6"/>
  <c r="K38" i="6" s="1"/>
  <c r="I37" i="6"/>
  <c r="K37" i="6" s="1"/>
  <c r="I36" i="6"/>
  <c r="K36" i="6" s="1"/>
  <c r="I35" i="6"/>
  <c r="K35" i="6" s="1"/>
  <c r="I34" i="6"/>
  <c r="I33" i="6"/>
  <c r="I32" i="6"/>
  <c r="I31" i="6"/>
  <c r="I30" i="6"/>
  <c r="I29" i="6"/>
  <c r="I28" i="6"/>
  <c r="K28" i="6" s="1"/>
  <c r="B47" i="6"/>
  <c r="D47" i="6" s="1"/>
  <c r="B46" i="6"/>
  <c r="D46" i="6" s="1"/>
  <c r="B45" i="6"/>
  <c r="D45" i="6" s="1"/>
  <c r="B44" i="6"/>
  <c r="D44" i="6" s="1"/>
  <c r="B43" i="6"/>
  <c r="D43" i="6" s="1"/>
  <c r="B42" i="6"/>
  <c r="B41" i="6"/>
  <c r="D41" i="6" s="1"/>
  <c r="B40" i="6"/>
  <c r="D40" i="6" s="1"/>
  <c r="B39" i="6"/>
  <c r="D39" i="6" s="1"/>
  <c r="B38" i="6"/>
  <c r="D38" i="6" s="1"/>
  <c r="B37" i="6"/>
  <c r="D37" i="6" s="1"/>
  <c r="B36" i="6"/>
  <c r="D36" i="6" s="1"/>
  <c r="B35" i="6"/>
  <c r="D35" i="6" s="1"/>
  <c r="B34" i="6"/>
  <c r="D34" i="6" s="1"/>
  <c r="B33" i="6"/>
  <c r="D33" i="6" s="1"/>
  <c r="B32" i="6"/>
  <c r="B31" i="6"/>
  <c r="D31" i="6" s="1"/>
  <c r="B30" i="6"/>
  <c r="D30" i="6" s="1"/>
  <c r="B29" i="6"/>
  <c r="D29" i="6" s="1"/>
  <c r="B28" i="6"/>
  <c r="D28" i="6" s="1"/>
  <c r="C179" i="1"/>
  <c r="D42" i="6"/>
  <c r="I46" i="6"/>
  <c r="K46" i="6" s="1"/>
  <c r="K42" i="6"/>
  <c r="K34" i="6"/>
  <c r="K33" i="6"/>
  <c r="D72" i="6"/>
  <c r="B68" i="6"/>
  <c r="D68" i="6" s="1"/>
  <c r="B67" i="6"/>
  <c r="D67" i="6" s="1"/>
  <c r="D66" i="6"/>
  <c r="D65" i="6"/>
  <c r="B59" i="6"/>
  <c r="D59" i="6" s="1"/>
  <c r="B58" i="6"/>
  <c r="D58" i="6" s="1"/>
  <c r="B56" i="6"/>
  <c r="D56" i="6" s="1"/>
  <c r="B55" i="6"/>
  <c r="D55" i="6" s="1"/>
  <c r="B54" i="6"/>
  <c r="D54" i="6" s="1"/>
  <c r="I65" i="6"/>
  <c r="K65" i="6" s="1"/>
  <c r="I63" i="6"/>
  <c r="K63" i="6" s="1"/>
  <c r="K62" i="6"/>
  <c r="K60" i="6"/>
  <c r="I56" i="6"/>
  <c r="K56" i="6" s="1"/>
  <c r="I55" i="6"/>
  <c r="K55" i="6" s="1"/>
  <c r="B101" i="6"/>
  <c r="D101" i="6" s="1"/>
  <c r="B100" i="6"/>
  <c r="D100" i="6" s="1"/>
  <c r="B99" i="6"/>
  <c r="D99" i="6" s="1"/>
  <c r="B98" i="6"/>
  <c r="D98" i="6" s="1"/>
  <c r="B97" i="6"/>
  <c r="D97" i="6" s="1"/>
  <c r="B96" i="6"/>
  <c r="D96" i="6" s="1"/>
  <c r="B95" i="6"/>
  <c r="D95" i="6" s="1"/>
  <c r="B94" i="6"/>
  <c r="D94" i="6" s="1"/>
  <c r="D92" i="6"/>
  <c r="B91" i="6"/>
  <c r="D91" i="6" s="1"/>
  <c r="B90" i="6"/>
  <c r="D90" i="6" s="1"/>
  <c r="B88" i="6"/>
  <c r="D88" i="6" s="1"/>
  <c r="B87" i="6"/>
  <c r="D87" i="6" s="1"/>
  <c r="B86" i="6"/>
  <c r="D86" i="6" s="1"/>
  <c r="B85" i="6"/>
  <c r="D85" i="6" s="1"/>
  <c r="B84" i="6"/>
  <c r="D84" i="6" s="1"/>
  <c r="J105" i="6"/>
  <c r="I101" i="6"/>
  <c r="K101" i="6" s="1"/>
  <c r="I100" i="6"/>
  <c r="K100" i="6" s="1"/>
  <c r="I99" i="6"/>
  <c r="K99" i="6" s="1"/>
  <c r="I98" i="6"/>
  <c r="K98" i="6" s="1"/>
  <c r="I97" i="6"/>
  <c r="K97" i="6" s="1"/>
  <c r="K94" i="6"/>
  <c r="I93" i="6"/>
  <c r="K93" i="6" s="1"/>
  <c r="I92" i="6"/>
  <c r="K92" i="6" s="1"/>
  <c r="I90" i="6"/>
  <c r="K90" i="6" s="1"/>
  <c r="K89" i="6"/>
  <c r="K91" i="6"/>
  <c r="C155" i="1"/>
  <c r="J75" i="6"/>
  <c r="C107" i="6"/>
  <c r="B131" i="1"/>
  <c r="C104" i="1"/>
  <c r="B104" i="1"/>
  <c r="D69" i="6"/>
  <c r="C79" i="6"/>
  <c r="C78" i="1"/>
  <c r="B78" i="1"/>
  <c r="C49" i="6"/>
  <c r="D32" i="6"/>
  <c r="J32" i="6"/>
  <c r="J31" i="6"/>
  <c r="J30" i="6"/>
  <c r="J29" i="6"/>
  <c r="O164" i="6"/>
  <c r="C24" i="1"/>
  <c r="B7" i="1" s="1"/>
  <c r="B130" i="6" l="1"/>
  <c r="D130" i="6" s="1"/>
  <c r="F11" i="6" s="1"/>
  <c r="B18" i="1"/>
  <c r="B21" i="1"/>
  <c r="B19" i="1"/>
  <c r="B16" i="1"/>
  <c r="B14" i="1"/>
  <c r="B5" i="1"/>
  <c r="B6" i="1"/>
  <c r="B23" i="1"/>
  <c r="I128" i="6"/>
  <c r="K128" i="6" s="1"/>
  <c r="F12" i="6" s="1"/>
  <c r="D112" i="6"/>
  <c r="I105" i="6"/>
  <c r="K105" i="6" s="1"/>
  <c r="F10" i="6" s="1"/>
  <c r="I75" i="6"/>
  <c r="B107" i="6"/>
  <c r="K54" i="6"/>
  <c r="B17" i="1"/>
  <c r="B15" i="1"/>
  <c r="B13" i="1"/>
  <c r="B4" i="1"/>
  <c r="B12" i="1"/>
  <c r="B11" i="1"/>
  <c r="B22" i="1"/>
  <c r="B10" i="1"/>
  <c r="B9" i="1"/>
  <c r="B20" i="1"/>
  <c r="B8" i="1"/>
  <c r="B79" i="6"/>
  <c r="K32" i="6"/>
  <c r="K29" i="6"/>
  <c r="K30" i="6"/>
  <c r="K31" i="6"/>
  <c r="J49" i="6"/>
  <c r="I49" i="6"/>
  <c r="B49" i="6"/>
  <c r="C48" i="1"/>
  <c r="B48" i="1" l="1"/>
  <c r="D107" i="6"/>
  <c r="F9" i="6" s="1"/>
  <c r="K75" i="6"/>
  <c r="F8" i="6" s="1"/>
  <c r="D79" i="6"/>
  <c r="F7" i="6" s="1"/>
  <c r="K49" i="6"/>
  <c r="F6" i="6" s="1"/>
  <c r="D49" i="6"/>
  <c r="F5" i="6" s="1"/>
  <c r="F14" i="6" l="1"/>
</calcChain>
</file>

<file path=xl/sharedStrings.xml><?xml version="1.0" encoding="utf-8"?>
<sst xmlns="http://schemas.openxmlformats.org/spreadsheetml/2006/main" count="966" uniqueCount="121">
  <si>
    <t>Ticker</t>
  </si>
  <si>
    <t>Total</t>
  </si>
  <si>
    <t>Week</t>
  </si>
  <si>
    <t>Volatility</t>
  </si>
  <si>
    <t>Sharpe Ratio</t>
  </si>
  <si>
    <t>Beta</t>
  </si>
  <si>
    <t>Alpha</t>
  </si>
  <si>
    <t>Max Drawdown</t>
  </si>
  <si>
    <t>Momentum</t>
  </si>
  <si>
    <t>Week 1</t>
  </si>
  <si>
    <t>Week 2</t>
  </si>
  <si>
    <t>Week 3</t>
  </si>
  <si>
    <t>Company Ticker</t>
  </si>
  <si>
    <t>TSLA</t>
  </si>
  <si>
    <t>End</t>
  </si>
  <si>
    <t>Beginning</t>
  </si>
  <si>
    <t>Begin or End</t>
  </si>
  <si>
    <t>5-Day Return</t>
  </si>
  <si>
    <t>Recent Z-Score (Return)</t>
  </si>
  <si>
    <t>5-Day Volume Trend</t>
  </si>
  <si>
    <t>Residual Volume</t>
  </si>
  <si>
    <t>Price Relative to 5-Day MA</t>
  </si>
  <si>
    <t>21 Day Return</t>
  </si>
  <si>
    <t>AAPL</t>
  </si>
  <si>
    <t>MSFT</t>
  </si>
  <si>
    <t>NVDA</t>
  </si>
  <si>
    <t>GOOGL</t>
  </si>
  <si>
    <t>AMZN</t>
  </si>
  <si>
    <t>UNH</t>
  </si>
  <si>
    <t>V</t>
  </si>
  <si>
    <t>PFE</t>
  </si>
  <si>
    <t>KO</t>
  </si>
  <si>
    <t>DIS</t>
  </si>
  <si>
    <t>WMT</t>
  </si>
  <si>
    <t>MCD</t>
  </si>
  <si>
    <t>NKE</t>
  </si>
  <si>
    <t>CRM</t>
  </si>
  <si>
    <t>AMD</t>
  </si>
  <si>
    <t>NOW</t>
  </si>
  <si>
    <t>GILD</t>
  </si>
  <si>
    <t>ZTS</t>
  </si>
  <si>
    <t>ADBE</t>
  </si>
  <si>
    <t>Cost Basis</t>
  </si>
  <si>
    <t>June 20, 2025; 4pm market close</t>
  </si>
  <si>
    <t>JPM</t>
  </si>
  <si>
    <t>SBUX</t>
  </si>
  <si>
    <t>CARR</t>
  </si>
  <si>
    <t>TROW</t>
  </si>
  <si>
    <t>HIG</t>
  </si>
  <si>
    <t>TXN</t>
  </si>
  <si>
    <t>GS</t>
  </si>
  <si>
    <t>SYY</t>
  </si>
  <si>
    <t>$ Gain/Loss</t>
  </si>
  <si>
    <t>Amount Invested</t>
  </si>
  <si>
    <t>NASDAQ</t>
  </si>
  <si>
    <t>S&amp;P 500</t>
  </si>
  <si>
    <t>Dow Jones</t>
  </si>
  <si>
    <t>1 Week Change %</t>
  </si>
  <si>
    <t>June 23, 2025 purchase between noon and 2 pm, 1 and 2 pm calculated</t>
  </si>
  <si>
    <t>June 27, 4pm Market Close</t>
  </si>
  <si>
    <t>Week 4</t>
  </si>
  <si>
    <t xml:space="preserve">Total </t>
  </si>
  <si>
    <t>CUBE</t>
  </si>
  <si>
    <t>NFLX</t>
  </si>
  <si>
    <t>AMGN</t>
  </si>
  <si>
    <t>JCI</t>
  </si>
  <si>
    <t>CAT</t>
  </si>
  <si>
    <t>BLK</t>
  </si>
  <si>
    <t>RMD</t>
  </si>
  <si>
    <t>APD</t>
  </si>
  <si>
    <t>TMO</t>
  </si>
  <si>
    <t>July 7, 2025 purchase between noon and 2 pm, 1 and 2 pm calculated</t>
  </si>
  <si>
    <t>July 11, 4pm market close</t>
  </si>
  <si>
    <t>Week 5</t>
  </si>
  <si>
    <t>AVGO</t>
  </si>
  <si>
    <t>COP</t>
  </si>
  <si>
    <t>July 14, purchase between 1 and 2 pm, calculated between 1 and 2 pm</t>
  </si>
  <si>
    <t>MASFIN</t>
  </si>
  <si>
    <t>Week 6</t>
  </si>
  <si>
    <t>CRWD</t>
  </si>
  <si>
    <t>CSCO</t>
  </si>
  <si>
    <t>July 21, purchase between 1 and 2 pm, calculated between 1 and 2 pm</t>
  </si>
  <si>
    <t>—</t>
  </si>
  <si>
    <t>Week 7</t>
  </si>
  <si>
    <t>KMX</t>
  </si>
  <si>
    <t>July 29 to August 1 (4 day bc of WiFi)</t>
  </si>
  <si>
    <t>% Gain/Loss</t>
  </si>
  <si>
    <t>June 16 to 20</t>
  </si>
  <si>
    <t>June 23 to 27</t>
  </si>
  <si>
    <t>July 7 to 11</t>
  </si>
  <si>
    <t>July 14 to 18</t>
  </si>
  <si>
    <t>July 21 to 25</t>
  </si>
  <si>
    <t>July 29 to Aug 1</t>
  </si>
  <si>
    <t>DHR</t>
  </si>
  <si>
    <t>JNJ</t>
  </si>
  <si>
    <t>Week 8</t>
  </si>
  <si>
    <t>Aug 12 - 15</t>
  </si>
  <si>
    <t>August 4 to 8</t>
  </si>
  <si>
    <t>August 12 to 15</t>
  </si>
  <si>
    <t xml:space="preserve"> Allocation %</t>
  </si>
  <si>
    <t>Allocation %</t>
  </si>
  <si>
    <t>Important Note:</t>
  </si>
  <si>
    <t>The beginning calculations are made on the first day of the week during the morning hours (within a few hours of market open), and the end calculations are made after market close on Friday at 4 PM (or over the weekend before the next trading day begins). I do not buy at the opening price; instead, I wait a little after the market opens so I know exactly how much I am spending, which is important since I trade on a very low budget. However, some tickers are recommended for multiple weeks in a row, often with the same allocation weight, so those positions simply carry over and remain in the portfolio.</t>
  </si>
  <si>
    <t>Jun 16 -20, 2025</t>
  </si>
  <si>
    <t>Jun 23-27, 2025</t>
  </si>
  <si>
    <t>July 7-11, 2025</t>
  </si>
  <si>
    <t>July 14-18, 2025</t>
  </si>
  <si>
    <t>July 21-25, 2025</t>
  </si>
  <si>
    <t>July 29 - Aug 1, 2025</t>
  </si>
  <si>
    <t>Aug 4 - 8, 2025</t>
  </si>
  <si>
    <t>August 12-15, 2025</t>
  </si>
  <si>
    <t>Week 1, Jun 16 -20, 2025</t>
  </si>
  <si>
    <t>Week 2, Jun 23-27, 2025</t>
  </si>
  <si>
    <t>Week 3, July 7-11, 2025</t>
  </si>
  <si>
    <t>Week 4, July 14-18, 2025</t>
  </si>
  <si>
    <t>Week 5, July 21-25, 2025</t>
  </si>
  <si>
    <t>Week 6, July 29 - Aug 1, 2025</t>
  </si>
  <si>
    <t>Week 7, Aug 4 - 8, 2025</t>
  </si>
  <si>
    <t>Week 8 - End of Research, no Calculations needed, August 12-15, 2025</t>
  </si>
  <si>
    <t>Average:</t>
  </si>
  <si>
    <t>Total Growth/ Loss: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</si>
</sst>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%"/>
    <numFmt numFmtId="165" formatCode="&quot;$&quot;#,##0.00"/>
    <numFmt numFmtId="167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FFFF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10" fontId="0" fillId="0" borderId="0" xfId="0" applyNumberFormat="1"/>
    <xf numFmtId="8" fontId="0" fillId="0" borderId="0" xfId="0" applyNumberFormat="1"/>
    <xf numFmtId="10" fontId="0" fillId="0" borderId="0" xfId="1" applyNumberFormat="1" applyFont="1"/>
    <xf numFmtId="0" fontId="0" fillId="3" borderId="0" xfId="0" applyFill="1"/>
    <xf numFmtId="9" fontId="0" fillId="0" borderId="0" xfId="0" applyNumberFormat="1"/>
    <xf numFmtId="16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167" fontId="0" fillId="0" borderId="0" xfId="1" applyNumberFormat="1" applyFont="1"/>
    <xf numFmtId="0" fontId="4" fillId="0" borderId="0" xfId="0" applyFont="1" applyAlignment="1">
      <alignment horizontal="left" vertical="center"/>
    </xf>
    <xf numFmtId="0" fontId="0" fillId="0" borderId="0" xfId="0" applyNumberFormat="1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  <xf numFmtId="167" fontId="0" fillId="0" borderId="0" xfId="0" applyNumberFormat="1"/>
    <xf numFmtId="0" fontId="0" fillId="0" borderId="0" xfId="0" applyFont="1" applyAlignment="1">
      <alignment horizontal="left" vertical="center" wrapText="1"/>
    </xf>
    <xf numFmtId="10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vs Indicies Standard Deviation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Performance'!$I$3</c:f>
              <c:strCache>
                <c:ptCount val="1"/>
                <c:pt idx="0">
                  <c:v>NASDAQ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'Portfolio Performance'!$B$4:$B$7</c15:sqref>
                  </c15:fullRef>
                </c:ext>
              </c:extLst>
              <c:f>'Portfolio Performance'!$B$5:$B$7</c:f>
              <c:strCache>
                <c:ptCount val="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'Portfolio Performance'!$I$4:$I$7</c15:sqref>
                  </c15:fullRef>
                </c:ext>
              </c:extLst>
              <c:f>'Portfolio Performance'!$I$5:$I$7</c:f>
              <c:numCache>
                <c:formatCode>General</c:formatCode>
                <c:ptCount val="3"/>
                <c:pt idx="0">
                  <c:v>5.0000000000000001E-3</c:v>
                </c:pt>
                <c:pt idx="1">
                  <c:v>6.0000000000000001E-3</c:v>
                </c:pt>
                <c:pt idx="2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6-40C2-A857-16F8BD521690}"/>
            </c:ext>
          </c:extLst>
        </c:ser>
        <c:ser>
          <c:idx val="1"/>
          <c:order val="1"/>
          <c:tx>
            <c:strRef>
              <c:f>'Portfolio Performance'!$J$3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'Portfolio Performance'!$B$4:$B$7</c15:sqref>
                  </c15:fullRef>
                </c:ext>
              </c:extLst>
              <c:f>'Portfolio Performance'!$B$5:$B$7</c:f>
              <c:strCache>
                <c:ptCount val="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'Portfolio Performance'!$J$4:$J$7</c15:sqref>
                  </c15:fullRef>
                </c:ext>
              </c:extLst>
              <c:f>'Portfolio Performance'!$J$5:$J$7</c:f>
              <c:numCache>
                <c:formatCode>General</c:formatCode>
                <c:ptCount val="3"/>
                <c:pt idx="0">
                  <c:v>4.1999999999999997E-3</c:v>
                </c:pt>
                <c:pt idx="1">
                  <c:v>4.7000000000000002E-3</c:v>
                </c:pt>
                <c:pt idx="2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6-40C2-A857-16F8BD521690}"/>
            </c:ext>
          </c:extLst>
        </c:ser>
        <c:ser>
          <c:idx val="2"/>
          <c:order val="2"/>
          <c:tx>
            <c:strRef>
              <c:f>'Portfolio Performance'!$K$3</c:f>
              <c:strCache>
                <c:ptCount val="1"/>
                <c:pt idx="0">
                  <c:v>Dow Jones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'Portfolio Performance'!$B$4:$B$7</c15:sqref>
                  </c15:fullRef>
                </c:ext>
              </c:extLst>
              <c:f>'Portfolio Performance'!$B$5:$B$7</c:f>
              <c:strCache>
                <c:ptCount val="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'Portfolio Performance'!$K$4:$K$7</c15:sqref>
                  </c15:fullRef>
                </c:ext>
              </c:extLst>
              <c:f>'Portfolio Performance'!$K$5:$K$7</c:f>
              <c:numCache>
                <c:formatCode>General</c:formatCode>
                <c:ptCount val="3"/>
                <c:pt idx="0">
                  <c:v>4.1000000000000003E-3</c:v>
                </c:pt>
                <c:pt idx="1">
                  <c:v>6.4999999999999997E-3</c:v>
                </c:pt>
                <c:pt idx="2">
                  <c:v>5.5999999999999999E-3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6-40C2-A857-16F8BD521690}"/>
            </c:ext>
          </c:extLst>
        </c:ser>
        <c:ser>
          <c:idx val="3"/>
          <c:order val="3"/>
          <c:tx>
            <c:strRef>
              <c:f>'Portfolio Performance'!$L$3</c:f>
              <c:strCache>
                <c:ptCount val="1"/>
                <c:pt idx="0">
                  <c:v>MASFIN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'Portfolio Performance'!$B$4:$B$7</c15:sqref>
                  </c15:fullRef>
                </c:ext>
              </c:extLst>
              <c:f>'Portfolio Performance'!$B$5:$B$7</c:f>
              <c:strCache>
                <c:ptCount val="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'Portfolio Performance'!$L$4:$L$7</c15:sqref>
                  </c15:fullRef>
                </c:ext>
              </c:extLst>
              <c:f>'Portfolio Performance'!$L$5:$L$7</c:f>
              <c:numCache>
                <c:formatCode>General</c:formatCode>
                <c:ptCount val="3"/>
                <c:pt idx="0">
                  <c:v>3.5000000000000001E-3</c:v>
                </c:pt>
                <c:pt idx="1">
                  <c:v>5.3E-3</c:v>
                </c:pt>
                <c:pt idx="2">
                  <c:v>3.3E-3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16-40C2-A857-16F8BD521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918239"/>
        <c:axId val="153919199"/>
      </c:barChart>
      <c:catAx>
        <c:axId val="1539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9199"/>
        <c:crosses val="autoZero"/>
        <c:auto val="1"/>
        <c:lblAlgn val="ctr"/>
        <c:lblOffset val="100"/>
        <c:noMultiLvlLbl val="0"/>
      </c:catAx>
      <c:valAx>
        <c:axId val="15391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8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808995</xdr:colOff>
      <xdr:row>4</xdr:row>
      <xdr:rowOff>32166</xdr:rowOff>
    </xdr:from>
    <xdr:to>
      <xdr:col>21</xdr:col>
      <xdr:colOff>776704</xdr:colOff>
      <xdr:row>18</xdr:row>
      <xdr:rowOff>154453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E75E90-2042-6FFD-7DA8-912BCCFFE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BC10-6DB5-4FB3-B05A-4485D81D921E}">
  <dimension ref="A1:P200"/>
  <sheetViews>
    <sheetView zoomScale="63" workbookViewId="0">
      <selection activeCell="G192" sqref="G192"/>
    </sheetView>
  </sheetViews>
  <sheetFormatPr defaultRowHeight="14.5" x14ac:dyDescent="0.35"/>
  <cols>
    <col min="2" max="2" width="29.453125" customWidth="1"/>
    <col min="3" max="3" width="11.1796875" customWidth="1"/>
    <col min="4" max="4" width="19" customWidth="1"/>
    <col min="11" max="11" width="32" customWidth="1"/>
    <col min="12" max="12" width="25.26953125" customWidth="1"/>
    <col min="13" max="13" width="17.7265625" customWidth="1"/>
    <col min="14" max="14" width="27.54296875" customWidth="1"/>
    <col min="15" max="15" width="13.54296875" customWidth="1"/>
    <col min="16" max="16" width="9.7265625" bestFit="1" customWidth="1"/>
  </cols>
  <sheetData>
    <row r="1" spans="1:16" x14ac:dyDescent="0.35">
      <c r="A1" s="3" t="s">
        <v>9</v>
      </c>
    </row>
    <row r="3" spans="1:16" x14ac:dyDescent="0.35">
      <c r="A3" t="s">
        <v>0</v>
      </c>
      <c r="B3" t="s">
        <v>99</v>
      </c>
      <c r="C3" t="s">
        <v>42</v>
      </c>
    </row>
    <row r="4" spans="1:16" x14ac:dyDescent="0.35">
      <c r="A4" t="s">
        <v>23</v>
      </c>
      <c r="B4" s="8">
        <f>C4/C$24</f>
        <v>0.10684606252473287</v>
      </c>
      <c r="C4" s="7">
        <v>8.1</v>
      </c>
      <c r="P4" s="7"/>
    </row>
    <row r="5" spans="1:16" x14ac:dyDescent="0.35">
      <c r="A5" t="s">
        <v>24</v>
      </c>
      <c r="B5" s="8">
        <f>C5/C$24</f>
        <v>0.1076375148397309</v>
      </c>
      <c r="C5" s="7">
        <v>8.16</v>
      </c>
      <c r="P5" s="7"/>
    </row>
    <row r="6" spans="1:16" x14ac:dyDescent="0.35">
      <c r="A6" t="s">
        <v>25</v>
      </c>
      <c r="B6" s="8">
        <f>C6/C$24</f>
        <v>8.4553488985621955E-2</v>
      </c>
      <c r="C6" s="7">
        <v>6.41</v>
      </c>
      <c r="P6" s="7"/>
    </row>
    <row r="7" spans="1:16" x14ac:dyDescent="0.35">
      <c r="A7" t="s">
        <v>26</v>
      </c>
      <c r="B7" s="8">
        <f>C7/C$24</f>
        <v>8.3366310513124917E-2</v>
      </c>
      <c r="C7" s="7">
        <v>6.32</v>
      </c>
      <c r="P7" s="7"/>
    </row>
    <row r="8" spans="1:16" x14ac:dyDescent="0.35">
      <c r="A8" t="s">
        <v>13</v>
      </c>
      <c r="B8" s="8">
        <f>C8/C$24</f>
        <v>7.7430418150639752E-2</v>
      </c>
      <c r="C8" s="7">
        <v>5.87</v>
      </c>
      <c r="P8" s="7"/>
    </row>
    <row r="9" spans="1:16" x14ac:dyDescent="0.35">
      <c r="A9" t="s">
        <v>27</v>
      </c>
      <c r="B9" s="8">
        <f>C9/C$24</f>
        <v>7.4000791452315001E-2</v>
      </c>
      <c r="C9" s="7">
        <v>5.61</v>
      </c>
      <c r="P9" s="7"/>
    </row>
    <row r="10" spans="1:16" x14ac:dyDescent="0.35">
      <c r="A10" t="s">
        <v>28</v>
      </c>
      <c r="B10" s="8">
        <f>C10/C$24</f>
        <v>5.2763487666534756E-2</v>
      </c>
      <c r="C10" s="7">
        <v>4</v>
      </c>
      <c r="P10" s="7"/>
    </row>
    <row r="11" spans="1:16" x14ac:dyDescent="0.35">
      <c r="A11" t="s">
        <v>29</v>
      </c>
      <c r="B11" s="8">
        <f>C11/C$24</f>
        <v>5.1708217913204062E-2</v>
      </c>
      <c r="C11" s="7">
        <v>3.92</v>
      </c>
      <c r="P11" s="7"/>
    </row>
    <row r="12" spans="1:16" x14ac:dyDescent="0.35">
      <c r="A12" t="s">
        <v>30</v>
      </c>
      <c r="B12" s="8">
        <f>C12/C$24</f>
        <v>4.2078881414061464E-2</v>
      </c>
      <c r="C12" s="7">
        <v>3.19</v>
      </c>
      <c r="P12" s="7"/>
    </row>
    <row r="13" spans="1:16" x14ac:dyDescent="0.35">
      <c r="A13" t="s">
        <v>31</v>
      </c>
      <c r="B13" s="8">
        <f>C13/C$24</f>
        <v>4.1815063975728796E-2</v>
      </c>
      <c r="C13" s="7">
        <v>3.17</v>
      </c>
      <c r="P13" s="7"/>
    </row>
    <row r="14" spans="1:16" x14ac:dyDescent="0.35">
      <c r="A14" t="s">
        <v>32</v>
      </c>
      <c r="B14" s="8">
        <f>C14/C$24</f>
        <v>3.1526183880754517E-2</v>
      </c>
      <c r="C14" s="7">
        <v>2.39</v>
      </c>
      <c r="P14" s="7"/>
    </row>
    <row r="15" spans="1:16" x14ac:dyDescent="0.35">
      <c r="A15" t="s">
        <v>33</v>
      </c>
      <c r="B15" s="8">
        <f>C15/C$24</f>
        <v>3.1262366442421842E-2</v>
      </c>
      <c r="C15" s="7">
        <v>2.37</v>
      </c>
      <c r="P15" s="7"/>
    </row>
    <row r="16" spans="1:16" x14ac:dyDescent="0.35">
      <c r="A16" t="s">
        <v>34</v>
      </c>
      <c r="B16" s="8">
        <f>C16/C$24</f>
        <v>3.139427516158818E-2</v>
      </c>
      <c r="C16" s="7">
        <v>2.38</v>
      </c>
      <c r="P16" s="7"/>
    </row>
    <row r="17" spans="1:16" x14ac:dyDescent="0.35">
      <c r="A17" t="s">
        <v>35</v>
      </c>
      <c r="B17" s="8">
        <f>C17/C$24</f>
        <v>3.099854900408917E-2</v>
      </c>
      <c r="C17" s="7">
        <v>2.35</v>
      </c>
      <c r="P17" s="7"/>
    </row>
    <row r="18" spans="1:16" x14ac:dyDescent="0.35">
      <c r="A18" t="s">
        <v>36</v>
      </c>
      <c r="B18" s="8">
        <f>C18/C$24</f>
        <v>3.1262366442421842E-2</v>
      </c>
      <c r="C18" s="7">
        <v>2.37</v>
      </c>
      <c r="P18" s="7"/>
    </row>
    <row r="19" spans="1:16" x14ac:dyDescent="0.35">
      <c r="A19" t="s">
        <v>37</v>
      </c>
      <c r="B19" s="8">
        <f>C19/C$24</f>
        <v>3.0339005408257482E-2</v>
      </c>
      <c r="C19" s="7">
        <v>2.2999999999999998</v>
      </c>
      <c r="P19" s="7"/>
    </row>
    <row r="20" spans="1:16" x14ac:dyDescent="0.35">
      <c r="A20" t="s">
        <v>38</v>
      </c>
      <c r="B20" s="8">
        <f>C20/C$24</f>
        <v>2.6645561271600053E-2</v>
      </c>
      <c r="C20" s="7">
        <v>2.02</v>
      </c>
      <c r="P20" s="7"/>
    </row>
    <row r="21" spans="1:16" x14ac:dyDescent="0.35">
      <c r="A21" t="s">
        <v>39</v>
      </c>
      <c r="B21" s="8">
        <f>C21/C$24</f>
        <v>2.1764938662445586E-2</v>
      </c>
      <c r="C21" s="7">
        <v>1.65</v>
      </c>
      <c r="P21" s="7"/>
    </row>
    <row r="22" spans="1:16" x14ac:dyDescent="0.35">
      <c r="A22" t="s">
        <v>40</v>
      </c>
      <c r="B22" s="8">
        <f>C22/C$24</f>
        <v>2.1633029943279248E-2</v>
      </c>
      <c r="C22" s="7">
        <v>1.64</v>
      </c>
      <c r="P22" s="7"/>
    </row>
    <row r="23" spans="1:16" x14ac:dyDescent="0.35">
      <c r="A23" t="s">
        <v>41</v>
      </c>
      <c r="B23" s="8">
        <f>C23/C$24</f>
        <v>2.0973486347447567E-2</v>
      </c>
      <c r="C23" s="7">
        <v>1.59</v>
      </c>
      <c r="P23" s="7"/>
    </row>
    <row r="24" spans="1:16" x14ac:dyDescent="0.35">
      <c r="A24" t="s">
        <v>1</v>
      </c>
      <c r="B24" s="6">
        <v>1</v>
      </c>
      <c r="C24" s="7">
        <f>SUM(C4:C23)</f>
        <v>75.81</v>
      </c>
      <c r="P24" s="7"/>
    </row>
    <row r="26" spans="1:16" x14ac:dyDescent="0.35">
      <c r="A26" s="3" t="s">
        <v>10</v>
      </c>
    </row>
    <row r="27" spans="1:16" x14ac:dyDescent="0.35">
      <c r="A27" t="s">
        <v>0</v>
      </c>
      <c r="B27" t="s">
        <v>99</v>
      </c>
      <c r="C27" t="s">
        <v>42</v>
      </c>
    </row>
    <row r="28" spans="1:16" x14ac:dyDescent="0.35">
      <c r="A28" t="s">
        <v>23</v>
      </c>
      <c r="B28" s="8">
        <v>9.3809000000000003E-2</v>
      </c>
      <c r="C28" s="7">
        <v>9.5</v>
      </c>
    </row>
    <row r="29" spans="1:16" x14ac:dyDescent="0.35">
      <c r="A29" t="s">
        <v>24</v>
      </c>
      <c r="B29" s="8">
        <v>9.4796000000000005E-2</v>
      </c>
      <c r="C29" s="7">
        <v>9.6</v>
      </c>
    </row>
    <row r="30" spans="1:16" x14ac:dyDescent="0.35">
      <c r="A30" t="s">
        <v>25</v>
      </c>
      <c r="B30" s="8">
        <v>8.4527000000000005E-2</v>
      </c>
      <c r="C30" s="7">
        <v>8.56</v>
      </c>
      <c r="K30" s="6"/>
      <c r="L30" s="7"/>
    </row>
    <row r="31" spans="1:16" x14ac:dyDescent="0.35">
      <c r="A31" t="s">
        <v>27</v>
      </c>
      <c r="B31" s="8">
        <v>7.6034000000000004E-2</v>
      </c>
      <c r="C31" s="7">
        <v>7.7</v>
      </c>
      <c r="K31" s="6"/>
      <c r="L31" s="7"/>
    </row>
    <row r="32" spans="1:16" x14ac:dyDescent="0.35">
      <c r="A32" t="s">
        <v>30</v>
      </c>
      <c r="B32" s="8">
        <v>6.5864000000000006E-2</v>
      </c>
      <c r="C32" s="7">
        <v>6.67</v>
      </c>
      <c r="K32" s="6"/>
      <c r="L32" s="7"/>
    </row>
    <row r="33" spans="1:12" x14ac:dyDescent="0.35">
      <c r="A33" t="s">
        <v>29</v>
      </c>
      <c r="B33" s="8">
        <v>6.5468999999999999E-2</v>
      </c>
      <c r="C33" s="7">
        <v>6.63</v>
      </c>
      <c r="F33" s="7"/>
      <c r="K33" s="6"/>
      <c r="L33" s="7"/>
    </row>
    <row r="34" spans="1:12" x14ac:dyDescent="0.35">
      <c r="A34" t="s">
        <v>28</v>
      </c>
      <c r="B34" s="8">
        <v>7.4848999999999999E-2</v>
      </c>
      <c r="C34" s="7">
        <v>7.58</v>
      </c>
      <c r="F34" s="7"/>
      <c r="K34" s="8"/>
      <c r="L34" s="7"/>
    </row>
    <row r="35" spans="1:12" x14ac:dyDescent="0.35">
      <c r="A35" t="s">
        <v>44</v>
      </c>
      <c r="B35" s="8">
        <v>6.4876000000000003E-2</v>
      </c>
      <c r="C35" s="7">
        <v>6.57</v>
      </c>
      <c r="K35" s="6"/>
      <c r="L35" s="7"/>
    </row>
    <row r="36" spans="1:12" x14ac:dyDescent="0.35">
      <c r="A36" t="s">
        <v>34</v>
      </c>
      <c r="B36" s="8">
        <v>3.7622000000000003E-2</v>
      </c>
      <c r="C36" s="7">
        <v>3.81</v>
      </c>
      <c r="K36" s="6"/>
      <c r="L36" s="7"/>
    </row>
    <row r="37" spans="1:12" x14ac:dyDescent="0.35">
      <c r="A37" t="s">
        <v>45</v>
      </c>
      <c r="B37" s="8">
        <v>3.7720999999999998E-2</v>
      </c>
      <c r="C37" s="7">
        <v>3.82</v>
      </c>
      <c r="K37" s="6"/>
      <c r="L37" s="7"/>
    </row>
    <row r="38" spans="1:12" x14ac:dyDescent="0.35">
      <c r="A38" t="s">
        <v>46</v>
      </c>
      <c r="B38" s="8">
        <v>2.8438999999999999E-2</v>
      </c>
      <c r="C38" s="7">
        <v>2.88</v>
      </c>
      <c r="K38" s="6"/>
      <c r="L38" s="7"/>
    </row>
    <row r="39" spans="1:12" x14ac:dyDescent="0.35">
      <c r="A39" t="s">
        <v>47</v>
      </c>
      <c r="B39" s="8">
        <v>3.7325999999999998E-2</v>
      </c>
      <c r="C39" s="7">
        <v>3.78</v>
      </c>
      <c r="K39" s="6"/>
      <c r="L39" s="7"/>
    </row>
    <row r="40" spans="1:12" x14ac:dyDescent="0.35">
      <c r="A40" t="s">
        <v>35</v>
      </c>
      <c r="B40" s="8">
        <v>3.7523000000000001E-2</v>
      </c>
      <c r="C40" s="7">
        <v>3.8</v>
      </c>
      <c r="K40" s="6"/>
      <c r="L40" s="7"/>
    </row>
    <row r="41" spans="1:12" x14ac:dyDescent="0.35">
      <c r="A41" t="s">
        <v>48</v>
      </c>
      <c r="B41" s="8">
        <v>2.8636000000000002E-2</v>
      </c>
      <c r="C41" s="7">
        <v>2.9</v>
      </c>
      <c r="K41" s="6"/>
      <c r="L41" s="7"/>
    </row>
    <row r="42" spans="1:12" x14ac:dyDescent="0.35">
      <c r="A42" t="s">
        <v>49</v>
      </c>
      <c r="B42" s="8">
        <v>3.7523000000000001E-2</v>
      </c>
      <c r="C42" s="7">
        <v>3.8</v>
      </c>
      <c r="K42" s="6"/>
      <c r="L42" s="7"/>
    </row>
    <row r="43" spans="1:12" x14ac:dyDescent="0.35">
      <c r="A43" t="s">
        <v>32</v>
      </c>
      <c r="B43" s="8">
        <v>2.0045E-2</v>
      </c>
      <c r="C43" s="7">
        <v>2.0299999999999998</v>
      </c>
      <c r="K43" s="6"/>
      <c r="L43" s="7"/>
    </row>
    <row r="44" spans="1:12" x14ac:dyDescent="0.35">
      <c r="A44" t="s">
        <v>50</v>
      </c>
      <c r="B44" s="8">
        <v>2.5180000000000001E-2</v>
      </c>
      <c r="C44" s="7">
        <v>2.5499999999999998</v>
      </c>
      <c r="K44" s="6"/>
      <c r="L44" s="7"/>
    </row>
    <row r="45" spans="1:12" x14ac:dyDescent="0.35">
      <c r="A45" t="s">
        <v>51</v>
      </c>
      <c r="B45" s="8">
        <v>1.9354E-2</v>
      </c>
      <c r="C45" s="7">
        <v>1.96</v>
      </c>
      <c r="K45" s="6"/>
      <c r="L45" s="7"/>
    </row>
    <row r="46" spans="1:12" x14ac:dyDescent="0.35">
      <c r="A46" t="s">
        <v>26</v>
      </c>
      <c r="B46" s="8">
        <v>3.6436999999999997E-2</v>
      </c>
      <c r="C46" s="7">
        <v>3.69</v>
      </c>
      <c r="K46" s="6"/>
      <c r="L46" s="7"/>
    </row>
    <row r="47" spans="1:12" x14ac:dyDescent="0.35">
      <c r="A47" t="s">
        <v>33</v>
      </c>
      <c r="B47" s="8">
        <v>3.397E-2</v>
      </c>
      <c r="C47" s="7">
        <v>3.44</v>
      </c>
      <c r="K47" s="6"/>
      <c r="L47" s="7"/>
    </row>
    <row r="48" spans="1:12" x14ac:dyDescent="0.35">
      <c r="A48" t="s">
        <v>1</v>
      </c>
      <c r="B48" s="23">
        <f>SUM(B28:B47)</f>
        <v>1</v>
      </c>
      <c r="C48" s="7">
        <f>SUM(C28:C47)</f>
        <v>101.26999999999998</v>
      </c>
      <c r="K48" s="6"/>
      <c r="L48" s="7"/>
    </row>
    <row r="49" spans="1:14" x14ac:dyDescent="0.35">
      <c r="L49" s="6"/>
      <c r="M49" s="7"/>
    </row>
    <row r="50" spans="1:14" x14ac:dyDescent="0.35">
      <c r="N50" s="7"/>
    </row>
    <row r="52" spans="1:14" x14ac:dyDescent="0.35">
      <c r="A52" s="3" t="s">
        <v>11</v>
      </c>
    </row>
    <row r="53" spans="1:14" x14ac:dyDescent="0.35">
      <c r="A53" t="s">
        <v>0</v>
      </c>
      <c r="B53" t="s">
        <v>100</v>
      </c>
      <c r="C53" t="s">
        <v>42</v>
      </c>
    </row>
    <row r="54" spans="1:14" x14ac:dyDescent="0.35">
      <c r="A54" t="s">
        <v>23</v>
      </c>
      <c r="B54" s="6">
        <v>7.0699999999999999E-2</v>
      </c>
      <c r="C54" s="14">
        <v>7.13</v>
      </c>
      <c r="D54" s="17"/>
    </row>
    <row r="55" spans="1:14" x14ac:dyDescent="0.35">
      <c r="A55" t="s">
        <v>24</v>
      </c>
      <c r="B55" s="6">
        <v>7.0699999999999999E-2</v>
      </c>
      <c r="C55" s="14">
        <v>7.2</v>
      </c>
      <c r="D55" s="17"/>
    </row>
    <row r="56" spans="1:14" x14ac:dyDescent="0.35">
      <c r="A56" t="s">
        <v>25</v>
      </c>
      <c r="B56" s="6">
        <v>7.0699999999999999E-2</v>
      </c>
      <c r="C56" s="14">
        <v>7.25</v>
      </c>
      <c r="D56" s="17"/>
    </row>
    <row r="57" spans="1:14" x14ac:dyDescent="0.35">
      <c r="A57" t="s">
        <v>27</v>
      </c>
      <c r="B57" s="6">
        <v>6.1800000000000001E-2</v>
      </c>
      <c r="C57" s="14">
        <v>6.19</v>
      </c>
      <c r="D57" s="17"/>
    </row>
    <row r="58" spans="1:14" x14ac:dyDescent="0.35">
      <c r="A58" t="s">
        <v>30</v>
      </c>
      <c r="B58" s="6">
        <v>5.3100000000000001E-2</v>
      </c>
      <c r="C58" s="14">
        <v>5.45</v>
      </c>
      <c r="D58" s="17"/>
    </row>
    <row r="59" spans="1:14" x14ac:dyDescent="0.35">
      <c r="A59" t="s">
        <v>28</v>
      </c>
      <c r="B59" s="6">
        <v>5.3100000000000001E-2</v>
      </c>
      <c r="C59" s="14">
        <v>5.15</v>
      </c>
      <c r="D59" s="17"/>
    </row>
    <row r="60" spans="1:14" x14ac:dyDescent="0.35">
      <c r="A60" t="s">
        <v>49</v>
      </c>
      <c r="B60" s="6">
        <v>5.3100000000000001E-2</v>
      </c>
      <c r="C60" s="14">
        <v>5.3</v>
      </c>
      <c r="D60" s="17"/>
    </row>
    <row r="61" spans="1:14" x14ac:dyDescent="0.35">
      <c r="A61" t="s">
        <v>32</v>
      </c>
      <c r="B61" s="6">
        <v>4.4299999999999999E-2</v>
      </c>
      <c r="C61" s="14">
        <v>4.51</v>
      </c>
      <c r="D61" s="17"/>
    </row>
    <row r="62" spans="1:14" x14ac:dyDescent="0.35">
      <c r="A62" t="s">
        <v>26</v>
      </c>
      <c r="B62" s="6">
        <v>4.4299999999999999E-2</v>
      </c>
      <c r="C62" s="14">
        <v>4.83</v>
      </c>
      <c r="D62" s="17"/>
    </row>
    <row r="63" spans="1:14" x14ac:dyDescent="0.35">
      <c r="A63" t="s">
        <v>33</v>
      </c>
      <c r="B63" s="6">
        <v>4.4299999999999999E-2</v>
      </c>
      <c r="C63" s="14">
        <v>4.5199999999999996</v>
      </c>
      <c r="D63" s="17"/>
    </row>
    <row r="64" spans="1:14" x14ac:dyDescent="0.35">
      <c r="A64" t="s">
        <v>47</v>
      </c>
      <c r="B64" s="6">
        <v>4.4299999999999999E-2</v>
      </c>
      <c r="C64" s="14">
        <v>4.88</v>
      </c>
      <c r="D64" s="17"/>
    </row>
    <row r="65" spans="1:4" x14ac:dyDescent="0.35">
      <c r="A65" t="s">
        <v>46</v>
      </c>
      <c r="B65" s="6">
        <v>3.5400000000000001E-2</v>
      </c>
      <c r="C65" s="14">
        <v>3.93</v>
      </c>
      <c r="D65" s="17"/>
    </row>
    <row r="66" spans="1:4" x14ac:dyDescent="0.35">
      <c r="A66" t="s">
        <v>50</v>
      </c>
      <c r="B66" s="6">
        <v>3.5400000000000001E-2</v>
      </c>
      <c r="C66" s="14">
        <v>3.98</v>
      </c>
      <c r="D66" s="17"/>
    </row>
    <row r="67" spans="1:4" x14ac:dyDescent="0.35">
      <c r="A67" t="s">
        <v>34</v>
      </c>
      <c r="B67" s="6">
        <v>3.5400000000000001E-2</v>
      </c>
      <c r="C67" s="14">
        <v>3.52</v>
      </c>
      <c r="D67" s="17"/>
    </row>
    <row r="68" spans="1:4" x14ac:dyDescent="0.35">
      <c r="A68" t="s">
        <v>44</v>
      </c>
      <c r="B68" s="6">
        <v>3.5400000000000001E-2</v>
      </c>
      <c r="C68" s="14">
        <v>3.83</v>
      </c>
      <c r="D68" s="17"/>
    </row>
    <row r="69" spans="1:4" x14ac:dyDescent="0.35">
      <c r="A69" t="s">
        <v>62</v>
      </c>
      <c r="B69" s="6">
        <v>3.5400000000000001E-2</v>
      </c>
      <c r="C69" s="14">
        <v>3.56</v>
      </c>
      <c r="D69" s="17"/>
    </row>
    <row r="70" spans="1:4" x14ac:dyDescent="0.35">
      <c r="A70" t="s">
        <v>63</v>
      </c>
      <c r="B70" s="6">
        <v>2.6599999999999999E-2</v>
      </c>
      <c r="C70" s="14">
        <v>2.58</v>
      </c>
      <c r="D70" s="17"/>
    </row>
    <row r="71" spans="1:4" x14ac:dyDescent="0.35">
      <c r="A71" t="s">
        <v>64</v>
      </c>
      <c r="B71" s="6">
        <v>2.6599999999999999E-2</v>
      </c>
      <c r="C71" s="14">
        <v>2.65</v>
      </c>
      <c r="D71" s="17"/>
    </row>
    <row r="72" spans="1:4" x14ac:dyDescent="0.35">
      <c r="A72" t="s">
        <v>65</v>
      </c>
      <c r="B72" s="6">
        <v>2.6599999999999999E-2</v>
      </c>
      <c r="C72" s="14">
        <v>2.5499999999999998</v>
      </c>
      <c r="D72" s="17"/>
    </row>
    <row r="73" spans="1:4" x14ac:dyDescent="0.35">
      <c r="A73" t="s">
        <v>66</v>
      </c>
      <c r="B73" s="6">
        <v>2.6599999999999999E-2</v>
      </c>
      <c r="C73" s="14">
        <v>2.36</v>
      </c>
      <c r="D73" s="17"/>
    </row>
    <row r="74" spans="1:4" x14ac:dyDescent="0.35">
      <c r="A74" t="s">
        <v>67</v>
      </c>
      <c r="B74" s="6">
        <v>2.6599999999999999E-2</v>
      </c>
      <c r="C74" s="14">
        <v>2.16</v>
      </c>
      <c r="D74" s="17"/>
    </row>
    <row r="75" spans="1:4" x14ac:dyDescent="0.35">
      <c r="A75" t="s">
        <v>68</v>
      </c>
      <c r="B75" s="6">
        <v>2.6599999999999999E-2</v>
      </c>
      <c r="C75" s="14">
        <v>2.57</v>
      </c>
      <c r="D75" s="17"/>
    </row>
    <row r="76" spans="1:4" x14ac:dyDescent="0.35">
      <c r="A76" t="s">
        <v>69</v>
      </c>
      <c r="B76" s="6">
        <v>2.6599999999999999E-2</v>
      </c>
      <c r="C76" s="14">
        <v>2.61</v>
      </c>
      <c r="D76" s="17"/>
    </row>
    <row r="77" spans="1:4" x14ac:dyDescent="0.35">
      <c r="A77" t="s">
        <v>70</v>
      </c>
      <c r="B77" s="6">
        <v>2.64E-2</v>
      </c>
      <c r="C77" s="14">
        <v>2.52</v>
      </c>
      <c r="D77" s="17"/>
    </row>
    <row r="78" spans="1:4" x14ac:dyDescent="0.35">
      <c r="B78" s="6">
        <f>SUM(B54:B77)</f>
        <v>0.99999999999999956</v>
      </c>
      <c r="C78" s="14">
        <f>SUM(C54:C77)</f>
        <v>101.22999999999998</v>
      </c>
      <c r="D78" s="17"/>
    </row>
    <row r="81" spans="1:3" x14ac:dyDescent="0.35">
      <c r="A81" s="3" t="s">
        <v>60</v>
      </c>
    </row>
    <row r="82" spans="1:3" x14ac:dyDescent="0.35">
      <c r="A82" t="s">
        <v>0</v>
      </c>
      <c r="B82" t="s">
        <v>100</v>
      </c>
      <c r="C82" t="s">
        <v>42</v>
      </c>
    </row>
    <row r="83" spans="1:3" x14ac:dyDescent="0.35">
      <c r="A83" t="s">
        <v>23</v>
      </c>
      <c r="B83" s="6">
        <v>7.3459999999999998E-2</v>
      </c>
      <c r="C83" s="7">
        <v>7.13</v>
      </c>
    </row>
    <row r="84" spans="1:3" x14ac:dyDescent="0.35">
      <c r="A84" t="s">
        <v>24</v>
      </c>
      <c r="B84" s="6">
        <v>7.3459999999999998E-2</v>
      </c>
      <c r="C84" s="7">
        <v>7.2</v>
      </c>
    </row>
    <row r="85" spans="1:3" x14ac:dyDescent="0.35">
      <c r="A85" t="s">
        <v>25</v>
      </c>
      <c r="B85" s="6">
        <v>7.3459999999999998E-2</v>
      </c>
      <c r="C85" s="7">
        <v>7.25</v>
      </c>
    </row>
    <row r="86" spans="1:3" x14ac:dyDescent="0.35">
      <c r="A86" t="s">
        <v>49</v>
      </c>
      <c r="B86" s="6">
        <v>6.3060000000000005E-2</v>
      </c>
      <c r="C86" s="7">
        <v>6.4</v>
      </c>
    </row>
    <row r="87" spans="1:3" x14ac:dyDescent="0.35">
      <c r="A87" t="s">
        <v>30</v>
      </c>
      <c r="B87" s="6">
        <v>5.5059999999999998E-2</v>
      </c>
      <c r="C87" s="7">
        <v>5.45</v>
      </c>
    </row>
    <row r="88" spans="1:3" x14ac:dyDescent="0.35">
      <c r="A88" t="s">
        <v>33</v>
      </c>
      <c r="B88" s="6">
        <v>5.5059999999999998E-2</v>
      </c>
      <c r="C88" s="7">
        <v>5.57</v>
      </c>
    </row>
    <row r="89" spans="1:3" x14ac:dyDescent="0.35">
      <c r="A89" t="s">
        <v>32</v>
      </c>
      <c r="B89" s="6">
        <v>4.5960000000000001E-2</v>
      </c>
      <c r="C89" s="7">
        <v>4.51</v>
      </c>
    </row>
    <row r="90" spans="1:3" x14ac:dyDescent="0.35">
      <c r="A90" t="s">
        <v>44</v>
      </c>
      <c r="B90" s="6">
        <v>5.5059999999999998E-2</v>
      </c>
      <c r="C90" s="7">
        <v>5.56</v>
      </c>
    </row>
    <row r="91" spans="1:3" x14ac:dyDescent="0.35">
      <c r="A91" t="s">
        <v>67</v>
      </c>
      <c r="B91" s="6">
        <v>4.5960000000000001E-2</v>
      </c>
      <c r="C91" s="7">
        <v>4.38</v>
      </c>
    </row>
    <row r="92" spans="1:3" x14ac:dyDescent="0.35">
      <c r="A92" t="s">
        <v>47</v>
      </c>
      <c r="B92" s="6">
        <v>4.5960000000000001E-2</v>
      </c>
      <c r="C92" s="7">
        <v>4.88</v>
      </c>
    </row>
    <row r="93" spans="1:3" x14ac:dyDescent="0.35">
      <c r="A93" t="s">
        <v>26</v>
      </c>
      <c r="B93" s="6">
        <v>5.5059999999999998E-2</v>
      </c>
      <c r="C93" s="7">
        <v>6</v>
      </c>
    </row>
    <row r="94" spans="1:3" x14ac:dyDescent="0.35">
      <c r="A94" t="s">
        <v>34</v>
      </c>
      <c r="B94" s="6">
        <v>3.6760000000000001E-2</v>
      </c>
      <c r="C94" s="7">
        <v>3.52</v>
      </c>
    </row>
    <row r="95" spans="1:3" x14ac:dyDescent="0.35">
      <c r="A95" t="s">
        <v>68</v>
      </c>
      <c r="B95" s="6">
        <v>3.6760000000000001E-2</v>
      </c>
      <c r="C95" s="7">
        <v>4.3499999999999996</v>
      </c>
    </row>
    <row r="96" spans="1:3" x14ac:dyDescent="0.35">
      <c r="A96" t="s">
        <v>66</v>
      </c>
      <c r="B96" s="6">
        <v>4.5960000000000001E-2</v>
      </c>
      <c r="C96" s="7">
        <v>4.78</v>
      </c>
    </row>
    <row r="97" spans="1:3" x14ac:dyDescent="0.35">
      <c r="A97" t="s">
        <v>74</v>
      </c>
      <c r="B97" s="6">
        <v>3.6760000000000001E-2</v>
      </c>
      <c r="C97" s="7">
        <v>3.59</v>
      </c>
    </row>
    <row r="98" spans="1:3" x14ac:dyDescent="0.35">
      <c r="A98" t="s">
        <v>38</v>
      </c>
      <c r="B98" s="6">
        <v>4.5960000000000001E-2</v>
      </c>
      <c r="C98" s="7">
        <v>4.88</v>
      </c>
    </row>
    <row r="99" spans="1:3" x14ac:dyDescent="0.35">
      <c r="A99" t="s">
        <v>63</v>
      </c>
      <c r="B99" s="6">
        <v>3.6760000000000001E-2</v>
      </c>
      <c r="C99" s="7">
        <v>3.85</v>
      </c>
    </row>
    <row r="100" spans="1:3" x14ac:dyDescent="0.35">
      <c r="A100" t="s">
        <v>75</v>
      </c>
      <c r="B100" s="6">
        <v>4.5960000000000001E-2</v>
      </c>
      <c r="C100" s="7">
        <v>4.7</v>
      </c>
    </row>
    <row r="101" spans="1:3" x14ac:dyDescent="0.35">
      <c r="A101" t="s">
        <v>65</v>
      </c>
      <c r="B101" s="6">
        <v>3.6760000000000001E-2</v>
      </c>
      <c r="C101" s="7">
        <v>3.61</v>
      </c>
    </row>
    <row r="102" spans="1:3" x14ac:dyDescent="0.35">
      <c r="A102" t="s">
        <v>46</v>
      </c>
      <c r="B102" s="6">
        <v>3.6760000000000001E-2</v>
      </c>
      <c r="C102" s="7">
        <v>3.93</v>
      </c>
    </row>
    <row r="103" spans="1:3" x14ac:dyDescent="0.35">
      <c r="B103" s="6"/>
    </row>
    <row r="104" spans="1:3" x14ac:dyDescent="0.35">
      <c r="B104" s="6">
        <f>SUM(B83:B102)</f>
        <v>1</v>
      </c>
      <c r="C104" s="7">
        <f>SUM(C83:C102)</f>
        <v>101.54</v>
      </c>
    </row>
    <row r="106" spans="1:3" x14ac:dyDescent="0.35">
      <c r="A106" s="3" t="s">
        <v>73</v>
      </c>
      <c r="B106" s="10"/>
    </row>
    <row r="107" spans="1:3" x14ac:dyDescent="0.35">
      <c r="A107" t="s">
        <v>0</v>
      </c>
      <c r="B107" t="s">
        <v>100</v>
      </c>
      <c r="C107" t="s">
        <v>42</v>
      </c>
    </row>
    <row r="108" spans="1:3" x14ac:dyDescent="0.35">
      <c r="A108" t="s">
        <v>23</v>
      </c>
      <c r="B108" s="6">
        <v>6.5500000000000003E-2</v>
      </c>
      <c r="C108" s="14">
        <v>7.13</v>
      </c>
    </row>
    <row r="109" spans="1:3" x14ac:dyDescent="0.35">
      <c r="A109" t="s">
        <v>24</v>
      </c>
      <c r="B109" s="6">
        <v>6.5500000000000003E-2</v>
      </c>
      <c r="C109" s="14">
        <v>7.2</v>
      </c>
    </row>
    <row r="110" spans="1:3" x14ac:dyDescent="0.35">
      <c r="A110" t="s">
        <v>25</v>
      </c>
      <c r="B110" s="6">
        <v>6.9900000000000004E-2</v>
      </c>
      <c r="C110" s="14">
        <v>7.25</v>
      </c>
    </row>
    <row r="111" spans="1:3" x14ac:dyDescent="0.35">
      <c r="A111" t="s">
        <v>30</v>
      </c>
      <c r="B111" s="6">
        <v>4.3700000000000003E-2</v>
      </c>
      <c r="C111" s="14">
        <v>4.45</v>
      </c>
    </row>
    <row r="112" spans="1:3" x14ac:dyDescent="0.35">
      <c r="A112" t="s">
        <v>33</v>
      </c>
      <c r="B112" s="6">
        <v>4.3700000000000003E-2</v>
      </c>
      <c r="C112" s="14">
        <v>4.34</v>
      </c>
    </row>
    <row r="113" spans="1:3" x14ac:dyDescent="0.35">
      <c r="A113" t="s">
        <v>32</v>
      </c>
      <c r="B113" s="6">
        <v>4.3700000000000003E-2</v>
      </c>
      <c r="C113" s="14">
        <v>4.51</v>
      </c>
    </row>
    <row r="114" spans="1:3" x14ac:dyDescent="0.35">
      <c r="A114" t="s">
        <v>47</v>
      </c>
      <c r="B114" s="6">
        <v>5.2400000000000002E-2</v>
      </c>
      <c r="C114" s="14">
        <v>4.88</v>
      </c>
    </row>
    <row r="115" spans="1:3" x14ac:dyDescent="0.35">
      <c r="A115" t="s">
        <v>26</v>
      </c>
      <c r="B115" s="6">
        <v>5.2400000000000002E-2</v>
      </c>
      <c r="C115" s="14">
        <v>6</v>
      </c>
    </row>
    <row r="116" spans="1:3" x14ac:dyDescent="0.35">
      <c r="A116" t="s">
        <v>66</v>
      </c>
      <c r="B116" s="6">
        <v>5.6800000000000003E-2</v>
      </c>
      <c r="C116" s="14">
        <v>6.03</v>
      </c>
    </row>
    <row r="117" spans="1:3" x14ac:dyDescent="0.35">
      <c r="A117" t="s">
        <v>74</v>
      </c>
      <c r="B117" s="6">
        <v>4.8000000000000001E-2</v>
      </c>
      <c r="C117" s="14">
        <v>5.03</v>
      </c>
    </row>
    <row r="118" spans="1:3" x14ac:dyDescent="0.35">
      <c r="A118" t="s">
        <v>44</v>
      </c>
      <c r="B118" s="6">
        <v>3.9300000000000002E-2</v>
      </c>
      <c r="C118" s="14">
        <v>3.92</v>
      </c>
    </row>
    <row r="119" spans="1:3" x14ac:dyDescent="0.35">
      <c r="A119" t="s">
        <v>67</v>
      </c>
      <c r="B119" s="6">
        <v>3.49E-2</v>
      </c>
      <c r="C119" s="14">
        <v>3.3</v>
      </c>
    </row>
    <row r="120" spans="1:3" x14ac:dyDescent="0.35">
      <c r="A120" t="s">
        <v>46</v>
      </c>
      <c r="B120" s="6">
        <v>3.49E-2</v>
      </c>
      <c r="C120" s="14">
        <v>3.93</v>
      </c>
    </row>
    <row r="121" spans="1:3" x14ac:dyDescent="0.35">
      <c r="A121" t="s">
        <v>49</v>
      </c>
      <c r="B121" s="6">
        <v>3.49E-2</v>
      </c>
      <c r="C121" s="14">
        <v>3.6</v>
      </c>
    </row>
    <row r="122" spans="1:3" x14ac:dyDescent="0.35">
      <c r="A122" t="s">
        <v>65</v>
      </c>
      <c r="B122" s="6">
        <v>3.0599999999999999E-2</v>
      </c>
      <c r="C122" s="14">
        <v>3.61</v>
      </c>
    </row>
    <row r="123" spans="1:3" x14ac:dyDescent="0.35">
      <c r="A123" t="s">
        <v>34</v>
      </c>
      <c r="B123" s="6">
        <v>3.9300000000000002E-2</v>
      </c>
      <c r="C123" s="14">
        <v>3.52</v>
      </c>
    </row>
    <row r="124" spans="1:3" x14ac:dyDescent="0.35">
      <c r="A124" t="s">
        <v>68</v>
      </c>
      <c r="B124" s="6">
        <v>3.49E-2</v>
      </c>
      <c r="C124" s="14">
        <v>3.32</v>
      </c>
    </row>
    <row r="125" spans="1:3" x14ac:dyDescent="0.35">
      <c r="A125" t="s">
        <v>79</v>
      </c>
      <c r="B125" s="6">
        <v>5.2400000000000002E-2</v>
      </c>
      <c r="C125" s="14">
        <v>5.3</v>
      </c>
    </row>
    <row r="126" spans="1:3" x14ac:dyDescent="0.35">
      <c r="A126" t="s">
        <v>35</v>
      </c>
      <c r="B126" s="6">
        <v>4.3700000000000003E-2</v>
      </c>
      <c r="C126" s="14">
        <v>3.49</v>
      </c>
    </row>
    <row r="127" spans="1:3" x14ac:dyDescent="0.35">
      <c r="A127" t="s">
        <v>80</v>
      </c>
      <c r="B127" s="6">
        <v>3.49E-2</v>
      </c>
      <c r="C127" s="14">
        <v>3.43</v>
      </c>
    </row>
    <row r="128" spans="1:3" x14ac:dyDescent="0.35">
      <c r="A128" t="s">
        <v>27</v>
      </c>
      <c r="B128" s="6">
        <v>4.3700000000000003E-2</v>
      </c>
      <c r="C128" s="14">
        <v>4.34</v>
      </c>
    </row>
    <row r="129" spans="1:3" x14ac:dyDescent="0.35">
      <c r="A129" t="s">
        <v>70</v>
      </c>
      <c r="B129" s="6">
        <v>3.49E-2</v>
      </c>
      <c r="C129" s="14">
        <v>3.67</v>
      </c>
    </row>
    <row r="130" spans="1:3" x14ac:dyDescent="0.35">
      <c r="B130" s="6"/>
    </row>
    <row r="131" spans="1:3" x14ac:dyDescent="0.35">
      <c r="B131" s="6">
        <f>SUM(B108:B129)</f>
        <v>1.0000000000000002</v>
      </c>
      <c r="C131" s="14">
        <f>SUM(C108:C129)</f>
        <v>102.25</v>
      </c>
    </row>
    <row r="132" spans="1:3" x14ac:dyDescent="0.35">
      <c r="A132" s="3" t="s">
        <v>78</v>
      </c>
    </row>
    <row r="133" spans="1:3" x14ac:dyDescent="0.35">
      <c r="A133" s="24" t="s">
        <v>0</v>
      </c>
      <c r="B133" t="s">
        <v>100</v>
      </c>
      <c r="C133" t="s">
        <v>42</v>
      </c>
    </row>
    <row r="134" spans="1:3" x14ac:dyDescent="0.35">
      <c r="A134" s="2" t="s">
        <v>23</v>
      </c>
      <c r="B134" s="25">
        <v>8.9300000000000004E-2</v>
      </c>
      <c r="C134" s="14">
        <v>9.0399999999999991</v>
      </c>
    </row>
    <row r="135" spans="1:3" x14ac:dyDescent="0.35">
      <c r="A135" s="2" t="s">
        <v>25</v>
      </c>
      <c r="B135" s="25">
        <v>8.9300000000000004E-2</v>
      </c>
      <c r="C135" s="14">
        <v>9.19</v>
      </c>
    </row>
    <row r="136" spans="1:3" x14ac:dyDescent="0.35">
      <c r="A136" s="2" t="s">
        <v>26</v>
      </c>
      <c r="B136" s="25">
        <v>7.1400000000000005E-2</v>
      </c>
      <c r="C136" s="14">
        <v>7.17</v>
      </c>
    </row>
    <row r="137" spans="1:3" x14ac:dyDescent="0.35">
      <c r="A137" s="2" t="s">
        <v>46</v>
      </c>
      <c r="B137" s="25">
        <v>7.1400000000000005E-2</v>
      </c>
      <c r="C137" s="14">
        <v>7.09</v>
      </c>
    </row>
    <row r="138" spans="1:3" x14ac:dyDescent="0.35">
      <c r="A138" s="2" t="s">
        <v>70</v>
      </c>
      <c r="B138" s="25">
        <v>7.1400000000000005E-2</v>
      </c>
      <c r="C138" s="14">
        <v>7.08</v>
      </c>
    </row>
    <row r="139" spans="1:3" x14ac:dyDescent="0.35">
      <c r="A139" s="2" t="s">
        <v>27</v>
      </c>
      <c r="B139" s="25">
        <v>7.1400000000000005E-2</v>
      </c>
      <c r="C139" s="14">
        <v>7.12</v>
      </c>
    </row>
    <row r="140" spans="1:3" x14ac:dyDescent="0.35">
      <c r="A140" s="2" t="s">
        <v>74</v>
      </c>
      <c r="B140" s="25">
        <v>5.3600000000000002E-2</v>
      </c>
      <c r="C140" s="14">
        <v>5.03</v>
      </c>
    </row>
    <row r="141" spans="1:3" x14ac:dyDescent="0.35">
      <c r="A141" s="2" t="s">
        <v>30</v>
      </c>
      <c r="B141" s="25">
        <v>5.3600000000000002E-2</v>
      </c>
      <c r="C141" s="14">
        <v>5.54</v>
      </c>
    </row>
    <row r="142" spans="1:3" x14ac:dyDescent="0.35">
      <c r="A142" s="2" t="s">
        <v>24</v>
      </c>
      <c r="B142" s="25">
        <v>5.3600000000000002E-2</v>
      </c>
      <c r="C142" s="14">
        <v>5.76</v>
      </c>
    </row>
    <row r="143" spans="1:3" x14ac:dyDescent="0.35">
      <c r="A143" s="2" t="s">
        <v>33</v>
      </c>
      <c r="B143" s="25">
        <v>4.4600000000000001E-2</v>
      </c>
      <c r="C143" s="14">
        <v>4.34</v>
      </c>
    </row>
    <row r="144" spans="1:3" x14ac:dyDescent="0.35">
      <c r="A144" s="2" t="s">
        <v>34</v>
      </c>
      <c r="B144" s="25">
        <v>4.4600000000000001E-2</v>
      </c>
      <c r="C144" s="14">
        <v>4.72</v>
      </c>
    </row>
    <row r="145" spans="1:3" x14ac:dyDescent="0.35">
      <c r="A145" s="2" t="s">
        <v>68</v>
      </c>
      <c r="B145" s="25">
        <v>4.4600000000000001E-2</v>
      </c>
      <c r="C145" s="14">
        <v>4.43</v>
      </c>
    </row>
    <row r="146" spans="1:3" x14ac:dyDescent="0.35">
      <c r="A146" s="2" t="s">
        <v>28</v>
      </c>
      <c r="B146" s="25">
        <v>4.4600000000000001E-2</v>
      </c>
      <c r="C146" s="14">
        <v>4.5999999999999996</v>
      </c>
    </row>
    <row r="147" spans="1:3" x14ac:dyDescent="0.35">
      <c r="A147" s="2" t="s">
        <v>44</v>
      </c>
      <c r="B147" s="25">
        <v>3.5700000000000003E-2</v>
      </c>
      <c r="C147" s="14">
        <v>3.92</v>
      </c>
    </row>
    <row r="148" spans="1:3" x14ac:dyDescent="0.35">
      <c r="A148" s="2" t="s">
        <v>49</v>
      </c>
      <c r="B148" s="25">
        <v>3.5700000000000003E-2</v>
      </c>
      <c r="C148" s="14">
        <v>3.6</v>
      </c>
    </row>
    <row r="149" spans="1:3" x14ac:dyDescent="0.35">
      <c r="A149" s="2" t="s">
        <v>67</v>
      </c>
      <c r="B149" s="25">
        <v>3.5700000000000003E-2</v>
      </c>
      <c r="C149" s="14">
        <v>3.3</v>
      </c>
    </row>
    <row r="150" spans="1:3" x14ac:dyDescent="0.35">
      <c r="A150" s="2" t="s">
        <v>80</v>
      </c>
      <c r="B150" s="25">
        <v>3.5700000000000003E-2</v>
      </c>
      <c r="C150" s="14">
        <v>3.43</v>
      </c>
    </row>
    <row r="151" spans="1:3" x14ac:dyDescent="0.35">
      <c r="A151" s="2" t="s">
        <v>66</v>
      </c>
      <c r="B151" s="25">
        <v>1.7999999999999999E-2</v>
      </c>
      <c r="C151" s="14">
        <v>2.06</v>
      </c>
    </row>
    <row r="152" spans="1:3" x14ac:dyDescent="0.35">
      <c r="A152" s="2" t="s">
        <v>84</v>
      </c>
      <c r="B152" s="25">
        <v>1.7899999999999999E-2</v>
      </c>
      <c r="C152" s="14">
        <v>1.77</v>
      </c>
    </row>
    <row r="153" spans="1:3" x14ac:dyDescent="0.35">
      <c r="A153" s="2" t="s">
        <v>36</v>
      </c>
      <c r="B153" s="25">
        <v>1.7899999999999999E-2</v>
      </c>
      <c r="C153" s="14">
        <v>1.61</v>
      </c>
    </row>
    <row r="155" spans="1:3" x14ac:dyDescent="0.35">
      <c r="B155" s="6">
        <f>SUM(B134:B154)</f>
        <v>0.99999999999999978</v>
      </c>
      <c r="C155" s="14">
        <f>SUM(C134:C153)</f>
        <v>100.79999999999998</v>
      </c>
    </row>
    <row r="159" spans="1:3" x14ac:dyDescent="0.35">
      <c r="A159" s="3" t="s">
        <v>83</v>
      </c>
    </row>
    <row r="160" spans="1:3" x14ac:dyDescent="0.35">
      <c r="A160" t="s">
        <v>0</v>
      </c>
      <c r="B160" t="s">
        <v>100</v>
      </c>
      <c r="C160" t="s">
        <v>42</v>
      </c>
    </row>
    <row r="161" spans="1:3" x14ac:dyDescent="0.35">
      <c r="A161" t="s">
        <v>23</v>
      </c>
      <c r="B161" s="6">
        <v>0.1053</v>
      </c>
      <c r="C161" s="14">
        <v>10.48</v>
      </c>
    </row>
    <row r="162" spans="1:3" x14ac:dyDescent="0.35">
      <c r="A162" t="s">
        <v>25</v>
      </c>
      <c r="B162" s="6">
        <v>0.1053</v>
      </c>
      <c r="C162" s="14">
        <v>10.62</v>
      </c>
    </row>
    <row r="163" spans="1:3" x14ac:dyDescent="0.35">
      <c r="A163" t="s">
        <v>26</v>
      </c>
      <c r="B163" s="6">
        <v>8.4199999999999997E-2</v>
      </c>
      <c r="C163" s="14">
        <v>8.5299999999999994</v>
      </c>
    </row>
    <row r="164" spans="1:3" x14ac:dyDescent="0.35">
      <c r="A164" t="s">
        <v>24</v>
      </c>
      <c r="B164" s="6">
        <v>8.4199999999999997E-2</v>
      </c>
      <c r="C164" s="14">
        <v>8.44</v>
      </c>
    </row>
    <row r="165" spans="1:3" x14ac:dyDescent="0.35">
      <c r="A165" t="s">
        <v>27</v>
      </c>
      <c r="B165" s="6">
        <v>7.3700000000000002E-2</v>
      </c>
      <c r="C165" s="14">
        <v>7.12</v>
      </c>
    </row>
    <row r="166" spans="1:3" x14ac:dyDescent="0.35">
      <c r="A166" t="s">
        <v>74</v>
      </c>
      <c r="B166" s="6">
        <v>7.3700000000000002E-2</v>
      </c>
      <c r="C166" s="14">
        <v>7.41</v>
      </c>
    </row>
    <row r="167" spans="1:3" x14ac:dyDescent="0.35">
      <c r="A167" t="s">
        <v>30</v>
      </c>
      <c r="B167" s="6">
        <v>7.3700000000000002E-2</v>
      </c>
      <c r="C167" s="14">
        <v>7.43</v>
      </c>
    </row>
    <row r="168" spans="1:3" x14ac:dyDescent="0.35">
      <c r="A168" t="s">
        <v>70</v>
      </c>
      <c r="B168" s="6">
        <v>6.3200000000000006E-2</v>
      </c>
      <c r="C168" s="14">
        <v>7.08</v>
      </c>
    </row>
    <row r="169" spans="1:3" x14ac:dyDescent="0.35">
      <c r="A169" t="s">
        <v>33</v>
      </c>
      <c r="B169" s="6">
        <v>6.3200000000000006E-2</v>
      </c>
      <c r="C169" s="14">
        <v>6.33</v>
      </c>
    </row>
    <row r="170" spans="1:3" x14ac:dyDescent="0.35">
      <c r="A170" t="s">
        <v>28</v>
      </c>
      <c r="B170" s="6">
        <v>5.2600000000000001E-2</v>
      </c>
      <c r="C170" s="14">
        <v>4.5999999999999996</v>
      </c>
    </row>
    <row r="171" spans="1:3" x14ac:dyDescent="0.35">
      <c r="A171" t="s">
        <v>63</v>
      </c>
      <c r="B171" s="6">
        <v>5.2600000000000001E-2</v>
      </c>
      <c r="C171" s="14">
        <v>6.01</v>
      </c>
    </row>
    <row r="172" spans="1:3" x14ac:dyDescent="0.35">
      <c r="A172" t="s">
        <v>68</v>
      </c>
      <c r="B172" s="6">
        <v>4.2099999999999999E-2</v>
      </c>
      <c r="C172" s="14">
        <v>4.43</v>
      </c>
    </row>
    <row r="173" spans="1:3" x14ac:dyDescent="0.35">
      <c r="A173" t="s">
        <v>93</v>
      </c>
      <c r="B173" s="6">
        <v>4.2099999999999999E-2</v>
      </c>
      <c r="C173" s="14">
        <v>4.33</v>
      </c>
    </row>
    <row r="174" spans="1:3" x14ac:dyDescent="0.35">
      <c r="A174" t="s">
        <v>80</v>
      </c>
      <c r="B174" s="6">
        <v>3.1600000000000003E-2</v>
      </c>
      <c r="C174" s="14">
        <v>3.43</v>
      </c>
    </row>
    <row r="175" spans="1:3" x14ac:dyDescent="0.35">
      <c r="A175" t="s">
        <v>94</v>
      </c>
      <c r="B175" s="6">
        <v>2.1100000000000001E-2</v>
      </c>
      <c r="C175" s="14">
        <v>2.0299999999999998</v>
      </c>
    </row>
    <row r="176" spans="1:3" x14ac:dyDescent="0.35">
      <c r="A176" t="s">
        <v>31</v>
      </c>
      <c r="B176" s="6">
        <v>2.1100000000000001E-2</v>
      </c>
      <c r="C176" s="14">
        <v>2.13</v>
      </c>
    </row>
    <row r="177" spans="1:3" x14ac:dyDescent="0.35">
      <c r="A177" t="s">
        <v>35</v>
      </c>
      <c r="B177" s="6">
        <v>1.03E-2</v>
      </c>
      <c r="C177" s="14">
        <v>1.04</v>
      </c>
    </row>
    <row r="178" spans="1:3" x14ac:dyDescent="0.35">
      <c r="C178" s="14"/>
    </row>
    <row r="179" spans="1:3" x14ac:dyDescent="0.35">
      <c r="B179" s="6">
        <f>SUM(B161:B177)</f>
        <v>1</v>
      </c>
      <c r="C179" s="14">
        <f>SUM(C161:C177)</f>
        <v>101.44</v>
      </c>
    </row>
    <row r="182" spans="1:3" x14ac:dyDescent="0.35">
      <c r="A182" s="3" t="s">
        <v>95</v>
      </c>
    </row>
    <row r="183" spans="1:3" x14ac:dyDescent="0.35">
      <c r="A183" t="s">
        <v>0</v>
      </c>
      <c r="B183" t="s">
        <v>100</v>
      </c>
      <c r="C183" t="s">
        <v>42</v>
      </c>
    </row>
    <row r="184" spans="1:3" x14ac:dyDescent="0.35">
      <c r="A184" t="s">
        <v>23</v>
      </c>
      <c r="B184" s="6">
        <v>0.10639999999999999</v>
      </c>
      <c r="C184" s="14">
        <v>10.48</v>
      </c>
    </row>
    <row r="185" spans="1:3" x14ac:dyDescent="0.35">
      <c r="A185" t="s">
        <v>25</v>
      </c>
      <c r="B185" s="6">
        <v>0.10639999999999999</v>
      </c>
      <c r="C185" s="14">
        <v>10.62</v>
      </c>
    </row>
    <row r="186" spans="1:3" x14ac:dyDescent="0.35">
      <c r="A186" t="s">
        <v>26</v>
      </c>
      <c r="B186" s="6">
        <v>8.5099999999999995E-2</v>
      </c>
      <c r="C186" s="14">
        <v>8.5299999999999994</v>
      </c>
    </row>
    <row r="187" spans="1:3" x14ac:dyDescent="0.35">
      <c r="A187" t="s">
        <v>74</v>
      </c>
      <c r="B187" s="6">
        <v>8.5099999999999995E-2</v>
      </c>
      <c r="C187" s="14">
        <v>8.65</v>
      </c>
    </row>
    <row r="188" spans="1:3" x14ac:dyDescent="0.35">
      <c r="A188" t="s">
        <v>68</v>
      </c>
      <c r="B188" s="6">
        <v>8.5099999999999995E-2</v>
      </c>
      <c r="C188" s="14">
        <v>8.66</v>
      </c>
    </row>
    <row r="189" spans="1:3" x14ac:dyDescent="0.35">
      <c r="A189" t="s">
        <v>94</v>
      </c>
      <c r="B189" s="6">
        <v>8.5099999999999995E-2</v>
      </c>
      <c r="C189" s="14">
        <v>8.58</v>
      </c>
    </row>
    <row r="190" spans="1:3" x14ac:dyDescent="0.35">
      <c r="A190" t="s">
        <v>70</v>
      </c>
      <c r="B190" s="6">
        <v>6.3799999999999996E-2</v>
      </c>
      <c r="C190" s="14">
        <v>7.08</v>
      </c>
    </row>
    <row r="191" spans="1:3" x14ac:dyDescent="0.35">
      <c r="A191" t="s">
        <v>33</v>
      </c>
      <c r="B191" s="6">
        <v>6.3799999999999996E-2</v>
      </c>
      <c r="C191" s="14">
        <v>6.33</v>
      </c>
    </row>
    <row r="192" spans="1:3" x14ac:dyDescent="0.35">
      <c r="A192" t="s">
        <v>80</v>
      </c>
      <c r="B192" s="6">
        <v>5.3199999999999997E-2</v>
      </c>
      <c r="C192" s="14">
        <v>5.35</v>
      </c>
    </row>
    <row r="193" spans="1:3" x14ac:dyDescent="0.35">
      <c r="A193" t="s">
        <v>28</v>
      </c>
      <c r="B193" s="6">
        <v>5.3199999999999997E-2</v>
      </c>
      <c r="C193" s="14">
        <v>4.5999999999999996</v>
      </c>
    </row>
    <row r="194" spans="1:3" x14ac:dyDescent="0.35">
      <c r="A194" t="s">
        <v>93</v>
      </c>
      <c r="B194" s="6">
        <v>4.2599999999999999E-2</v>
      </c>
      <c r="C194" s="14">
        <v>4.33</v>
      </c>
    </row>
    <row r="195" spans="1:3" x14ac:dyDescent="0.35">
      <c r="A195" t="s">
        <v>30</v>
      </c>
      <c r="B195" s="6">
        <v>4.2599999999999999E-2</v>
      </c>
      <c r="C195" s="14">
        <v>4.29</v>
      </c>
    </row>
    <row r="196" spans="1:3" x14ac:dyDescent="0.35">
      <c r="A196" t="s">
        <v>31</v>
      </c>
      <c r="B196" s="6">
        <v>4.2599999999999999E-2</v>
      </c>
      <c r="C196" s="14">
        <v>4.32</v>
      </c>
    </row>
    <row r="197" spans="1:3" x14ac:dyDescent="0.35">
      <c r="A197" t="s">
        <v>35</v>
      </c>
      <c r="B197" s="6">
        <v>4.2599999999999999E-2</v>
      </c>
      <c r="C197" s="14">
        <v>4.33</v>
      </c>
    </row>
    <row r="198" spans="1:3" x14ac:dyDescent="0.35">
      <c r="A198" t="s">
        <v>63</v>
      </c>
      <c r="B198" s="6">
        <v>4.24E-2</v>
      </c>
      <c r="C198" s="14">
        <v>3.54</v>
      </c>
    </row>
    <row r="199" spans="1:3" x14ac:dyDescent="0.35">
      <c r="C199" s="14"/>
    </row>
    <row r="200" spans="1:3" x14ac:dyDescent="0.35">
      <c r="B200" s="6">
        <f>SUM(B184:B198)</f>
        <v>0.99999999999999989</v>
      </c>
      <c r="C200" s="14">
        <f>SUM(C184:C199)</f>
        <v>99.69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10D4-FF76-46B2-8482-3E59AC6232F3}">
  <dimension ref="A3:Y531"/>
  <sheetViews>
    <sheetView tabSelected="1" zoomScale="63" workbookViewId="0">
      <selection activeCell="G23" sqref="G23"/>
    </sheetView>
  </sheetViews>
  <sheetFormatPr defaultRowHeight="14.5" x14ac:dyDescent="0.35"/>
  <cols>
    <col min="1" max="1" width="13.36328125" customWidth="1"/>
    <col min="2" max="2" width="18.453125" customWidth="1"/>
    <col min="3" max="3" width="17" customWidth="1"/>
    <col min="4" max="4" width="17.26953125" customWidth="1"/>
    <col min="5" max="5" width="13.54296875" customWidth="1"/>
    <col min="6" max="6" width="21.26953125" customWidth="1"/>
    <col min="7" max="7" width="23.81640625" customWidth="1"/>
    <col min="8" max="8" width="19.453125" customWidth="1"/>
    <col min="9" max="9" width="20.81640625" customWidth="1"/>
    <col min="10" max="10" width="18.1796875" customWidth="1"/>
    <col min="11" max="11" width="14.81640625" customWidth="1"/>
    <col min="12" max="12" width="19.26953125" customWidth="1"/>
    <col min="13" max="13" width="19.1796875" customWidth="1"/>
    <col min="14" max="14" width="18.54296875" customWidth="1"/>
    <col min="15" max="15" width="21.54296875" customWidth="1"/>
    <col min="16" max="16" width="20.81640625" customWidth="1"/>
    <col min="17" max="17" width="12.54296875" customWidth="1"/>
    <col min="18" max="18" width="18.81640625" customWidth="1"/>
    <col min="19" max="19" width="16.54296875" customWidth="1"/>
    <col min="20" max="20" width="18.08984375" customWidth="1"/>
    <col min="21" max="21" width="13.54296875" customWidth="1"/>
    <col min="22" max="22" width="18.36328125" customWidth="1"/>
    <col min="23" max="23" width="17.453125" customWidth="1"/>
    <col min="24" max="24" width="19.81640625" customWidth="1"/>
    <col min="28" max="28" width="20.7265625" customWidth="1"/>
    <col min="29" max="29" width="14.7265625" customWidth="1"/>
    <col min="30" max="30" width="16.26953125" customWidth="1"/>
    <col min="31" max="31" width="13" customWidth="1"/>
    <col min="34" max="34" width="13" customWidth="1"/>
    <col min="35" max="35" width="14.453125" customWidth="1"/>
    <col min="36" max="36" width="17" customWidth="1"/>
    <col min="37" max="37" width="11.90625" customWidth="1"/>
  </cols>
  <sheetData>
    <row r="3" spans="1:12" x14ac:dyDescent="0.35">
      <c r="B3" s="4" t="s">
        <v>2</v>
      </c>
      <c r="C3" s="4" t="s">
        <v>54</v>
      </c>
      <c r="D3" s="4" t="s">
        <v>55</v>
      </c>
      <c r="E3" s="4" t="s">
        <v>56</v>
      </c>
      <c r="F3" s="4" t="s">
        <v>77</v>
      </c>
      <c r="I3" s="4" t="s">
        <v>54</v>
      </c>
      <c r="J3" s="4" t="s">
        <v>55</v>
      </c>
      <c r="K3" s="4" t="s">
        <v>56</v>
      </c>
      <c r="L3" s="4" t="s">
        <v>77</v>
      </c>
    </row>
    <row r="4" spans="1:12" x14ac:dyDescent="0.35">
      <c r="L4" s="18">
        <v>3.4640000000000001E-3</v>
      </c>
    </row>
    <row r="5" spans="1:12" x14ac:dyDescent="0.35">
      <c r="A5" t="s">
        <v>87</v>
      </c>
      <c r="B5" t="s">
        <v>9</v>
      </c>
      <c r="C5" s="8">
        <v>-7.1999999999999998E-3</v>
      </c>
      <c r="D5" s="8">
        <v>-6.0000000000000001E-3</v>
      </c>
      <c r="E5" s="8">
        <v>-2.2000000000000001E-3</v>
      </c>
      <c r="F5" s="8">
        <f>D49</f>
        <v>-1.3120432660598886E-2</v>
      </c>
      <c r="H5" t="s">
        <v>9</v>
      </c>
      <c r="I5">
        <v>5.0000000000000001E-3</v>
      </c>
      <c r="J5">
        <v>4.1999999999999997E-3</v>
      </c>
      <c r="K5">
        <v>4.1000000000000003E-3</v>
      </c>
      <c r="L5">
        <v>3.5000000000000001E-3</v>
      </c>
    </row>
    <row r="6" spans="1:12" x14ac:dyDescent="0.35">
      <c r="A6" t="s">
        <v>88</v>
      </c>
      <c r="B6" t="s">
        <v>10</v>
      </c>
      <c r="C6" s="8">
        <v>4.1700000000000001E-2</v>
      </c>
      <c r="D6" s="8">
        <v>3.4099999999999998E-2</v>
      </c>
      <c r="E6" s="8">
        <v>3.8899999999999997E-2</v>
      </c>
      <c r="F6" s="8">
        <f>K49</f>
        <v>4.2797867087982659E-2</v>
      </c>
      <c r="H6" t="s">
        <v>10</v>
      </c>
      <c r="I6">
        <v>6.0000000000000001E-3</v>
      </c>
      <c r="J6">
        <v>4.7000000000000002E-3</v>
      </c>
      <c r="K6">
        <v>6.4999999999999997E-3</v>
      </c>
      <c r="L6">
        <v>5.3E-3</v>
      </c>
    </row>
    <row r="7" spans="1:12" x14ac:dyDescent="0.35">
      <c r="A7" t="s">
        <v>89</v>
      </c>
      <c r="B7" t="s">
        <v>11</v>
      </c>
      <c r="C7" s="8">
        <v>1.1999999999999999E-3</v>
      </c>
      <c r="D7" s="8">
        <v>1E-4</v>
      </c>
      <c r="E7" s="8">
        <v>-9.5999999999999992E-3</v>
      </c>
      <c r="F7" s="8">
        <f>D79</f>
        <v>3.0911785043959404E-3</v>
      </c>
      <c r="H7" t="s">
        <v>11</v>
      </c>
      <c r="I7">
        <v>4.3E-3</v>
      </c>
      <c r="J7">
        <v>4.1000000000000003E-3</v>
      </c>
      <c r="K7">
        <v>5.5999999999999999E-3</v>
      </c>
      <c r="L7">
        <v>3.3E-3</v>
      </c>
    </row>
    <row r="8" spans="1:12" x14ac:dyDescent="0.35">
      <c r="A8" t="s">
        <v>90</v>
      </c>
      <c r="B8" t="s">
        <v>60</v>
      </c>
      <c r="C8" s="6">
        <v>1.2500000000000001E-2</v>
      </c>
      <c r="D8" s="6">
        <v>6.7000000000000002E-3</v>
      </c>
      <c r="E8" s="8">
        <v>-1E-4</v>
      </c>
      <c r="F8" s="6">
        <f>K75</f>
        <v>5.1010439235769063E-3</v>
      </c>
      <c r="H8" t="s">
        <v>60</v>
      </c>
      <c r="I8">
        <v>3.5999999999999999E-3</v>
      </c>
      <c r="J8">
        <v>4.1000000000000003E-3</v>
      </c>
      <c r="K8">
        <v>7.3000000000000001E-3</v>
      </c>
      <c r="L8">
        <v>6.9179999999999997E-3</v>
      </c>
    </row>
    <row r="9" spans="1:12" x14ac:dyDescent="0.35">
      <c r="A9" t="s">
        <v>91</v>
      </c>
      <c r="B9" t="s">
        <v>73</v>
      </c>
      <c r="C9" s="6">
        <v>6.4000000000000003E-3</v>
      </c>
      <c r="D9" s="6">
        <v>1.3299999999999999E-2</v>
      </c>
      <c r="E9" s="6">
        <v>1.2E-2</v>
      </c>
      <c r="F9" s="6">
        <f>D107</f>
        <v>1.7699853300733526E-2</v>
      </c>
      <c r="H9" t="s">
        <v>73</v>
      </c>
      <c r="I9">
        <v>4.1000000000000003E-3</v>
      </c>
      <c r="J9">
        <v>3.3999999999999998E-3</v>
      </c>
      <c r="K9">
        <v>7.6E-3</v>
      </c>
      <c r="L9">
        <v>1.6689999999999999E-3</v>
      </c>
    </row>
    <row r="10" spans="1:12" x14ac:dyDescent="0.35">
      <c r="A10" t="s">
        <v>92</v>
      </c>
      <c r="B10" t="s">
        <v>78</v>
      </c>
      <c r="C10" s="6">
        <v>-3.04E-2</v>
      </c>
      <c r="D10" s="6">
        <v>-2.6200000000000001E-2</v>
      </c>
      <c r="E10" s="6">
        <v>-2.7799999999999998E-2</v>
      </c>
      <c r="F10" s="6">
        <f>K105</f>
        <v>-3.6426984126984127E-2</v>
      </c>
      <c r="H10" t="s">
        <v>78</v>
      </c>
      <c r="I10">
        <v>1.0800000000000001E-2</v>
      </c>
      <c r="J10">
        <v>7.9000000000000008E-3</v>
      </c>
      <c r="K10">
        <v>4.1999999999999997E-3</v>
      </c>
      <c r="L10">
        <v>7.6499999999999997E-3</v>
      </c>
    </row>
    <row r="11" spans="1:12" x14ac:dyDescent="0.35">
      <c r="A11" t="s">
        <v>97</v>
      </c>
      <c r="B11" t="s">
        <v>83</v>
      </c>
      <c r="C11" s="6">
        <v>2.7199999999999998E-2</v>
      </c>
      <c r="D11" s="6">
        <v>1.8800000000000001E-2</v>
      </c>
      <c r="E11" s="6">
        <v>1.03E-2</v>
      </c>
      <c r="F11" s="6">
        <f>D130</f>
        <v>3.9245070977917969E-2</v>
      </c>
      <c r="H11" t="s">
        <v>83</v>
      </c>
      <c r="I11">
        <v>1.01E-2</v>
      </c>
      <c r="J11">
        <v>6.1999999999999998E-3</v>
      </c>
      <c r="K11">
        <v>3.5000000000000001E-3</v>
      </c>
      <c r="L11">
        <v>4.4330000000000003E-3</v>
      </c>
    </row>
    <row r="12" spans="1:12" x14ac:dyDescent="0.35">
      <c r="A12" t="s">
        <v>98</v>
      </c>
      <c r="B12" t="s">
        <v>95</v>
      </c>
      <c r="C12" s="6">
        <v>2.5999999999999999E-3</v>
      </c>
      <c r="D12" s="6">
        <v>8.5000000000000006E-3</v>
      </c>
      <c r="E12" s="6">
        <v>2.0299999999999999E-2</v>
      </c>
      <c r="F12" s="6">
        <f>K128</f>
        <v>1.504383589126289E-2</v>
      </c>
      <c r="H12" t="s">
        <v>95</v>
      </c>
      <c r="I12" s="19">
        <v>8.0000000000000004E-4</v>
      </c>
      <c r="J12" s="19">
        <v>2.0999999999999999E-3</v>
      </c>
      <c r="K12" s="19">
        <v>7.4999999999999997E-3</v>
      </c>
      <c r="L12" s="19">
        <v>3.4420000000000002E-3</v>
      </c>
    </row>
    <row r="14" spans="1:12" x14ac:dyDescent="0.35">
      <c r="B14" t="s">
        <v>120</v>
      </c>
      <c r="C14" s="6">
        <f>SUM(C5:C12)</f>
        <v>5.4000000000000006E-2</v>
      </c>
      <c r="D14" s="6">
        <f>SUM(D5:D12)</f>
        <v>4.9300000000000004E-2</v>
      </c>
      <c r="E14" s="6">
        <f>SUM(E5:E12)</f>
        <v>4.1800000000000004E-2</v>
      </c>
      <c r="F14" s="6">
        <f>SUM(F5:F12)</f>
        <v>7.343143289828688E-2</v>
      </c>
      <c r="H14" t="s">
        <v>119</v>
      </c>
      <c r="I14" s="19">
        <f>AVERAGE(I5:I12)</f>
        <v>5.5874999999999996E-3</v>
      </c>
      <c r="J14" s="19">
        <f>AVERAGE(J5:J12)</f>
        <v>4.5874999999999996E-3</v>
      </c>
      <c r="K14" s="19">
        <f>AVERAGE(K5:K12)</f>
        <v>5.7875000000000001E-3</v>
      </c>
      <c r="L14" s="19">
        <f>AVERAGE(L5:L12)</f>
        <v>4.5265000000000001E-3</v>
      </c>
    </row>
    <row r="25" spans="1:12" x14ac:dyDescent="0.35">
      <c r="H25" s="11"/>
    </row>
    <row r="26" spans="1:12" x14ac:dyDescent="0.35">
      <c r="A26" s="3" t="s">
        <v>9</v>
      </c>
      <c r="H26" s="3" t="s">
        <v>10</v>
      </c>
    </row>
    <row r="27" spans="1:12" x14ac:dyDescent="0.35">
      <c r="A27" s="1" t="s">
        <v>0</v>
      </c>
      <c r="B27" t="s">
        <v>52</v>
      </c>
      <c r="C27" t="s">
        <v>53</v>
      </c>
      <c r="D27" t="s">
        <v>86</v>
      </c>
      <c r="E27" s="11" t="s">
        <v>103</v>
      </c>
      <c r="H27" s="1" t="s">
        <v>0</v>
      </c>
      <c r="I27" t="s">
        <v>52</v>
      </c>
      <c r="J27" t="s">
        <v>53</v>
      </c>
      <c r="K27" t="s">
        <v>86</v>
      </c>
      <c r="L27" s="11" t="s">
        <v>104</v>
      </c>
    </row>
    <row r="28" spans="1:12" x14ac:dyDescent="0.35">
      <c r="A28" t="s">
        <v>23</v>
      </c>
      <c r="B28" s="14">
        <f>(201-197.59)*0.029 + (201-200)*0.001 + (201-197.27)*0.011</f>
        <v>0.1409199999999998</v>
      </c>
      <c r="C28" s="14">
        <v>8.1</v>
      </c>
      <c r="D28" s="8">
        <f>B28/C28</f>
        <v>1.7397530864197507E-2</v>
      </c>
      <c r="H28" t="s">
        <v>23</v>
      </c>
      <c r="I28" s="15">
        <f>(201.08 - 201.63) * 0.041 + (201.08 - 200) * 0.007</f>
        <v>-1.4989999999999216E-2</v>
      </c>
      <c r="J28" s="14">
        <v>9.5</v>
      </c>
      <c r="K28" s="8">
        <f>I28/J28</f>
        <v>-1.5778947368420228E-3</v>
      </c>
    </row>
    <row r="29" spans="1:12" x14ac:dyDescent="0.35">
      <c r="A29" t="s">
        <v>24</v>
      </c>
      <c r="B29" s="14">
        <f>(477.4-480)*0.009 + (477.4-480)*0.003 + (477.4-480)*0.004 + (477.4-480)*0.001</f>
        <v>-4.4200000000000385E-2</v>
      </c>
      <c r="C29" s="14">
        <v>8.16</v>
      </c>
      <c r="D29" s="8">
        <f>B29/C29</f>
        <v>-5.4166666666667137E-3</v>
      </c>
      <c r="H29" t="s">
        <v>24</v>
      </c>
      <c r="I29" s="15">
        <f>(495.94 - 478.21) * 0.017 + (495.94 - 480) * 0.003</f>
        <v>0.34923000000000032</v>
      </c>
      <c r="J29" s="14">
        <f>1.44+8.16</f>
        <v>9.6</v>
      </c>
      <c r="K29" s="8">
        <f>I29/J29</f>
        <v>3.6378125000000032E-2</v>
      </c>
    </row>
    <row r="30" spans="1:12" x14ac:dyDescent="0.35">
      <c r="A30" t="s">
        <v>25</v>
      </c>
      <c r="B30" s="14">
        <f>(143.85-145.56)*0.009 + (143.85-145.71)*0.035</f>
        <v>-8.0490000000000547E-2</v>
      </c>
      <c r="C30" s="14">
        <v>6.41</v>
      </c>
      <c r="D30" s="8">
        <f t="shared" ref="D30:D47" si="0">B30/C30</f>
        <v>-1.2556942277691193E-2</v>
      </c>
      <c r="H30" t="s">
        <v>25</v>
      </c>
      <c r="I30" s="14">
        <f>(157.75 - 142.5) * 0.044 + (157.75 - 143.33) * 0.015</f>
        <v>0.88729999999999976</v>
      </c>
      <c r="J30" s="14">
        <f>2.15+6.41</f>
        <v>8.56</v>
      </c>
      <c r="K30" s="8">
        <f>I30/J30</f>
        <v>0.10365654205607473</v>
      </c>
    </row>
    <row r="31" spans="1:12" x14ac:dyDescent="0.35">
      <c r="A31" t="s">
        <v>26</v>
      </c>
      <c r="B31" s="14">
        <f>(166.64-175.71)*0.021 + (166.64-164.67)*0.015</f>
        <v>-0.16092000000000048</v>
      </c>
      <c r="C31" s="14">
        <v>6.32</v>
      </c>
      <c r="D31" s="8">
        <f t="shared" si="0"/>
        <v>-2.5462025316455771E-2</v>
      </c>
      <c r="H31" t="s">
        <v>27</v>
      </c>
      <c r="I31" s="14">
        <f>(223.3 - 209.79) * 0.026 + (223.3 - 209) * 0.01</f>
        <v>0.49426000000000059</v>
      </c>
      <c r="J31" s="14">
        <f>2.09+5.61</f>
        <v>7.7</v>
      </c>
      <c r="K31" s="8">
        <f>I31/J31</f>
        <v>6.4189610389610463E-2</v>
      </c>
    </row>
    <row r="32" spans="1:12" x14ac:dyDescent="0.35">
      <c r="A32" t="s">
        <v>13</v>
      </c>
      <c r="B32" s="14">
        <f>(322.16 - 330) * 0.004</f>
        <v>-3.1359999999999902E-2</v>
      </c>
      <c r="C32" s="14">
        <v>5.87</v>
      </c>
      <c r="D32" s="8">
        <f t="shared" si="0"/>
        <v>-5.3424190800681259E-3</v>
      </c>
      <c r="H32" t="s">
        <v>30</v>
      </c>
      <c r="I32" s="14">
        <f>(24.19 - 23.87) * 0.131 + (24.19 - 23.82) * 0.055 +  (24.19 - 23.85) * 0.091</f>
        <v>9.3210000000000084E-2</v>
      </c>
      <c r="J32" s="14">
        <f>3.48+3.19</f>
        <v>6.67</v>
      </c>
      <c r="K32" s="8">
        <f>I32/J32</f>
        <v>1.3974512743628199E-2</v>
      </c>
    </row>
    <row r="33" spans="1:11" x14ac:dyDescent="0.35">
      <c r="A33" t="s">
        <v>27</v>
      </c>
      <c r="B33" s="14">
        <f>(209.69 - 215.79) * 0.019 + (209.69 - 215.71) * 0.007</f>
        <v>-0.15803999999999996</v>
      </c>
      <c r="C33" s="14">
        <v>5.61</v>
      </c>
      <c r="D33" s="8">
        <f t="shared" si="0"/>
        <v>-2.8171122994652398E-2</v>
      </c>
      <c r="H33" t="s">
        <v>29</v>
      </c>
      <c r="I33" s="14">
        <f>(348.61 - 337.5) * 0.011 + (348.61 - 338.75) * 0.008</f>
        <v>0.20109000000000027</v>
      </c>
      <c r="J33" s="7">
        <v>6.63</v>
      </c>
      <c r="K33" s="8">
        <f t="shared" ref="K33:K47" si="1">I33/J33</f>
        <v>3.033031674208149E-2</v>
      </c>
    </row>
    <row r="34" spans="1:11" x14ac:dyDescent="0.35">
      <c r="A34" t="s">
        <v>28</v>
      </c>
      <c r="B34" s="14">
        <f>(302.01 - 300) * 0.005 +  (302.01 - 303.75) * 0.008</f>
        <v>-3.8700000000001181E-3</v>
      </c>
      <c r="C34" s="14">
        <v>4</v>
      </c>
      <c r="D34" s="8">
        <f t="shared" si="0"/>
        <v>-9.6750000000002953E-4</v>
      </c>
      <c r="H34" t="s">
        <v>28</v>
      </c>
      <c r="I34" s="14">
        <f>(309.11 - 301.9) * 0.013 + (309.11 - 300) * 0.008 + (309.11 - 297.5) * 0.004</f>
        <v>0.21305000000000066</v>
      </c>
      <c r="J34" s="7">
        <v>7.58</v>
      </c>
      <c r="K34" s="8">
        <f t="shared" si="1"/>
        <v>2.8106860158311431E-2</v>
      </c>
    </row>
    <row r="35" spans="1:11" x14ac:dyDescent="0.35">
      <c r="A35" t="s">
        <v>29</v>
      </c>
      <c r="B35" s="14">
        <f>(338.57 - 356.36) * 0.011</f>
        <v>-0.19569000000000022</v>
      </c>
      <c r="C35" s="14">
        <v>3.92</v>
      </c>
      <c r="D35" s="8">
        <f t="shared" si="0"/>
        <v>-4.9920918367346995E-2</v>
      </c>
      <c r="H35" t="s">
        <v>44</v>
      </c>
      <c r="I35" s="14">
        <f>(287.11 - 273.75) * 0.008 + (287.11 - 273.33) * 0.006 + (287.11 - 274) * 0.01</f>
        <v>0.32066000000000039</v>
      </c>
      <c r="J35" s="7">
        <v>6.57</v>
      </c>
      <c r="K35" s="8">
        <f t="shared" si="1"/>
        <v>4.8806697108067031E-2</v>
      </c>
    </row>
    <row r="36" spans="1:11" x14ac:dyDescent="0.35">
      <c r="A36" t="s">
        <v>30</v>
      </c>
      <c r="B36" s="14">
        <f>(23.97-24.25)*0.04 + (23.97-24.39)*0.041 + (23.97-24.4)*0.05</f>
        <v>-4.9920000000000103E-2</v>
      </c>
      <c r="C36" s="14">
        <v>3.19</v>
      </c>
      <c r="D36" s="8">
        <f t="shared" si="0"/>
        <v>-1.5648902821316646E-2</v>
      </c>
      <c r="H36" t="s">
        <v>34</v>
      </c>
      <c r="I36" s="14">
        <f>(291.55 - 288.52) * 0.008 + (291.55 - 285) * 0.004 + (291.55 - 300) * 0.001</f>
        <v>4.1990000000000291E-2</v>
      </c>
      <c r="J36" s="7">
        <v>3.81</v>
      </c>
      <c r="K36" s="8">
        <f t="shared" si="1"/>
        <v>1.102099737532816E-2</v>
      </c>
    </row>
    <row r="37" spans="1:11" x14ac:dyDescent="0.35">
      <c r="A37" t="s">
        <v>31</v>
      </c>
      <c r="B37" s="14">
        <f>(68.84 - 70.44) * 0.045</f>
        <v>-7.1999999999999745E-2</v>
      </c>
      <c r="C37" s="14">
        <v>3.17</v>
      </c>
      <c r="D37" s="8">
        <f t="shared" si="0"/>
        <v>-2.2712933753943138E-2</v>
      </c>
      <c r="H37" t="s">
        <v>45</v>
      </c>
      <c r="I37" s="14">
        <f>(92.11 - 90.95) * 0.042</f>
        <v>4.8719999999999861E-2</v>
      </c>
      <c r="J37" s="7">
        <v>3.82</v>
      </c>
      <c r="K37" s="8">
        <f t="shared" si="1"/>
        <v>1.2753926701570644E-2</v>
      </c>
    </row>
    <row r="38" spans="1:11" x14ac:dyDescent="0.35">
      <c r="A38" t="s">
        <v>32</v>
      </c>
      <c r="B38" s="14">
        <f>(117.63 - 119.41) * 0.017 + (117.63 - 116.67) * 0.003</f>
        <v>-2.7380000000000043E-2</v>
      </c>
      <c r="C38" s="14">
        <v>2.39</v>
      </c>
      <c r="D38" s="8">
        <f t="shared" si="0"/>
        <v>-1.1456066945606712E-2</v>
      </c>
      <c r="H38" t="s">
        <v>46</v>
      </c>
      <c r="I38" s="14">
        <f>(73.67 - 70.24) * 0.041</f>
        <v>0.14063000000000028</v>
      </c>
      <c r="J38" s="7">
        <v>2.88</v>
      </c>
      <c r="K38" s="8">
        <f t="shared" si="1"/>
        <v>4.8829861111111213E-2</v>
      </c>
    </row>
    <row r="39" spans="1:11" x14ac:dyDescent="0.35">
      <c r="A39" t="s">
        <v>33</v>
      </c>
      <c r="B39" s="14">
        <f>(96.12 - 95) * 0.012 + (96.12 - 94.63) * 0.013</f>
        <v>3.2810000000000172E-2</v>
      </c>
      <c r="C39" s="14">
        <v>2.37</v>
      </c>
      <c r="D39" s="8">
        <f t="shared" si="0"/>
        <v>1.3843881856540157E-2</v>
      </c>
      <c r="H39" t="s">
        <v>47</v>
      </c>
      <c r="I39" s="14">
        <f>(96.1 - 92.2) * 0.041</f>
        <v>0.15989999999999965</v>
      </c>
      <c r="J39" s="7">
        <v>3.78</v>
      </c>
      <c r="K39" s="8">
        <f t="shared" si="1"/>
        <v>4.2301587301587215E-2</v>
      </c>
    </row>
    <row r="40" spans="1:11" x14ac:dyDescent="0.35">
      <c r="A40" t="s">
        <v>34</v>
      </c>
      <c r="B40" s="14">
        <f>(287.46 - 297.14) * 0.007 + (287.46 - 290) * 0.001</f>
        <v>-7.0300000000000057E-2</v>
      </c>
      <c r="C40" s="14">
        <v>2.38</v>
      </c>
      <c r="D40" s="8">
        <f t="shared" si="0"/>
        <v>-2.9537815126050446E-2</v>
      </c>
      <c r="H40" t="s">
        <v>35</v>
      </c>
      <c r="I40" s="14">
        <f>(72.04 - 59.58) * 0.038 + (72.04 - 60.42) * 0.024</f>
        <v>0.75236000000000036</v>
      </c>
      <c r="J40" s="7">
        <v>3.8</v>
      </c>
      <c r="K40" s="8">
        <f t="shared" si="1"/>
        <v>0.19798947368421063</v>
      </c>
    </row>
    <row r="41" spans="1:11" x14ac:dyDescent="0.35">
      <c r="A41" t="s">
        <v>35</v>
      </c>
      <c r="B41" s="14">
        <f>(59.79 - 61.84) * 0.038</f>
        <v>-7.7900000000000164E-2</v>
      </c>
      <c r="C41" s="14">
        <v>2.35</v>
      </c>
      <c r="D41" s="8">
        <f t="shared" si="0"/>
        <v>-3.3148936170212834E-2</v>
      </c>
      <c r="H41" t="s">
        <v>48</v>
      </c>
      <c r="I41" s="14">
        <f>(124.68 - 126.09) * 0.023</f>
        <v>-3.2429999999999924E-2</v>
      </c>
      <c r="J41" s="7">
        <v>2.9</v>
      </c>
      <c r="K41" s="8">
        <f t="shared" si="1"/>
        <v>-1.1182758620689629E-2</v>
      </c>
    </row>
    <row r="42" spans="1:11" x14ac:dyDescent="0.35">
      <c r="A42" t="s">
        <v>36</v>
      </c>
      <c r="B42" s="14">
        <f>(260.63 - 263.33) * 0.009</f>
        <v>-2.4299999999999895E-2</v>
      </c>
      <c r="C42" s="14">
        <v>2.37</v>
      </c>
      <c r="D42" s="8">
        <f t="shared" si="0"/>
        <v>-1.025316455696198E-2</v>
      </c>
      <c r="H42" t="s">
        <v>49</v>
      </c>
      <c r="I42" s="14">
        <f>(207.08 - 200) * 0.005 + (207.08 - 200) * 0.014</f>
        <v>0.13452000000000025</v>
      </c>
      <c r="J42" s="7">
        <v>3.8</v>
      </c>
      <c r="K42" s="8">
        <f t="shared" si="1"/>
        <v>3.540000000000007E-2</v>
      </c>
    </row>
    <row r="43" spans="1:11" x14ac:dyDescent="0.35">
      <c r="A43" t="s">
        <v>37</v>
      </c>
      <c r="B43" s="14">
        <f>(128.24 - 127.78) * 0.018</f>
        <v>8.2800000000001431E-3</v>
      </c>
      <c r="C43" s="14">
        <v>2.2999999999999998</v>
      </c>
      <c r="D43" s="8">
        <f t="shared" si="0"/>
        <v>3.6000000000000624E-3</v>
      </c>
      <c r="H43" t="s">
        <v>32</v>
      </c>
      <c r="I43" s="14">
        <f>(122.34 - 119.41) * 0.017</f>
        <v>4.9810000000000118E-2</v>
      </c>
      <c r="J43" s="7">
        <v>2.0299999999999998</v>
      </c>
      <c r="K43" s="8">
        <f t="shared" si="1"/>
        <v>2.4536945812807943E-2</v>
      </c>
    </row>
    <row r="44" spans="1:11" x14ac:dyDescent="0.35">
      <c r="A44" t="s">
        <v>38</v>
      </c>
      <c r="B44" s="14">
        <f>(971.41 - 975) * 0.002</f>
        <v>-7.1800000000000639E-3</v>
      </c>
      <c r="C44" s="14">
        <v>2.02</v>
      </c>
      <c r="D44" s="8">
        <f t="shared" si="0"/>
        <v>-3.5544554455445862E-3</v>
      </c>
      <c r="H44" t="s">
        <v>50</v>
      </c>
      <c r="I44" s="14">
        <f>(690.81 - 637.5) * 0.004</f>
        <v>0.21323999999999979</v>
      </c>
      <c r="J44" s="7">
        <v>2.5499999999999998</v>
      </c>
      <c r="K44" s="8">
        <f t="shared" si="1"/>
        <v>8.3623529411764624E-2</v>
      </c>
    </row>
    <row r="45" spans="1:11" x14ac:dyDescent="0.35">
      <c r="A45" t="s">
        <v>39</v>
      </c>
      <c r="B45" s="14">
        <f>(108.5 - 110) * 0.015</f>
        <v>-2.2499999999999999E-2</v>
      </c>
      <c r="C45" s="14">
        <v>1.65</v>
      </c>
      <c r="D45" s="8">
        <f t="shared" si="0"/>
        <v>-1.3636363636363637E-2</v>
      </c>
      <c r="H45" t="s">
        <v>51</v>
      </c>
      <c r="I45" s="14">
        <f>(75.01 - 75.38) * 0.026</f>
        <v>-9.6199999999997485E-3</v>
      </c>
      <c r="J45" s="7">
        <v>1.96</v>
      </c>
      <c r="K45" s="8">
        <f t="shared" si="1"/>
        <v>-4.9081632653059943E-3</v>
      </c>
    </row>
    <row r="46" spans="1:11" x14ac:dyDescent="0.35">
      <c r="A46" t="s">
        <v>40</v>
      </c>
      <c r="B46" s="14">
        <f>(157.17 - 164) * 0.01</f>
        <v>-6.8300000000000125E-2</v>
      </c>
      <c r="C46" s="14">
        <v>1.64</v>
      </c>
      <c r="D46" s="8">
        <f t="shared" si="0"/>
        <v>-4.1646341463414713E-2</v>
      </c>
      <c r="H46" t="s">
        <v>26</v>
      </c>
      <c r="I46" s="14">
        <f>(178.53 - 166.27) * 0.021</f>
        <v>0.2574599999999998</v>
      </c>
      <c r="J46" s="7">
        <v>3.69</v>
      </c>
      <c r="K46" s="8">
        <f t="shared" si="1"/>
        <v>6.9772357723577177E-2</v>
      </c>
    </row>
    <row r="47" spans="1:11" x14ac:dyDescent="0.35">
      <c r="A47" t="s">
        <v>41</v>
      </c>
      <c r="B47" s="14">
        <f>(376.92 - 397.5) * 0.004</f>
        <v>-8.2319999999999935E-2</v>
      </c>
      <c r="C47" s="14">
        <v>1.59</v>
      </c>
      <c r="D47" s="8">
        <f t="shared" si="0"/>
        <v>-5.1773584905660336E-2</v>
      </c>
      <c r="H47" t="s">
        <v>33</v>
      </c>
      <c r="I47" s="14">
        <f>(97.27 - 95.92) * 0.025 + (97.27 - 97.27) * 0.011</f>
        <v>3.3749999999999857E-2</v>
      </c>
      <c r="J47" s="7">
        <v>3.44</v>
      </c>
      <c r="K47" s="8">
        <f t="shared" si="1"/>
        <v>9.8110465116278654E-3</v>
      </c>
    </row>
    <row r="49" spans="1:12" x14ac:dyDescent="0.35">
      <c r="A49" t="s">
        <v>1</v>
      </c>
      <c r="B49" s="14">
        <f>SUM(B28:B47)</f>
        <v>-0.99466000000000154</v>
      </c>
      <c r="C49" s="14">
        <f>SUM(C28:C47)</f>
        <v>75.81</v>
      </c>
      <c r="D49" s="8">
        <f>B49/C49</f>
        <v>-1.3120432660598886E-2</v>
      </c>
      <c r="H49" t="s">
        <v>61</v>
      </c>
      <c r="I49" s="14">
        <f>SUM(I28:I47)</f>
        <v>4.3341400000000032</v>
      </c>
      <c r="J49" s="14">
        <f>SUM(J28:J47)</f>
        <v>101.26999999999998</v>
      </c>
      <c r="K49" s="8">
        <f>I49/J49</f>
        <v>4.2797867087982659E-2</v>
      </c>
    </row>
    <row r="52" spans="1:12" x14ac:dyDescent="0.35">
      <c r="A52" s="3" t="s">
        <v>11</v>
      </c>
      <c r="H52" s="3" t="s">
        <v>60</v>
      </c>
    </row>
    <row r="53" spans="1:12" x14ac:dyDescent="0.35">
      <c r="A53" s="1" t="s">
        <v>0</v>
      </c>
      <c r="B53" t="s">
        <v>52</v>
      </c>
      <c r="C53" t="s">
        <v>53</v>
      </c>
      <c r="D53" t="s">
        <v>86</v>
      </c>
      <c r="E53" t="s">
        <v>105</v>
      </c>
      <c r="H53" s="1" t="s">
        <v>0</v>
      </c>
      <c r="I53" t="s">
        <v>52</v>
      </c>
      <c r="J53" t="s">
        <v>53</v>
      </c>
      <c r="K53" t="s">
        <v>86</v>
      </c>
      <c r="L53" t="s">
        <v>106</v>
      </c>
    </row>
    <row r="54" spans="1:12" x14ac:dyDescent="0.35">
      <c r="A54" t="s">
        <v>23</v>
      </c>
      <c r="B54" s="14">
        <f>(211.16 - 212.68) * 0.036</f>
        <v>-5.4720000000000366E-2</v>
      </c>
      <c r="C54" s="14">
        <v>7.13</v>
      </c>
      <c r="D54" s="8">
        <f>B54/C54</f>
        <v>-7.6746143057504022E-3</v>
      </c>
      <c r="H54" t="s">
        <v>23</v>
      </c>
      <c r="I54" s="14">
        <f>(211.18 - 209.93) * 0.036</f>
        <v>4.4999999999999998E-2</v>
      </c>
      <c r="J54" s="7">
        <v>7.13</v>
      </c>
      <c r="K54" s="8">
        <f>I54/J54</f>
        <v>6.311360448807854E-3</v>
      </c>
    </row>
    <row r="55" spans="1:12" x14ac:dyDescent="0.35">
      <c r="A55" t="s">
        <v>24</v>
      </c>
      <c r="B55" s="14">
        <f>(503.32 - 497.38) * 0.015</f>
        <v>8.9099999999999957E-2</v>
      </c>
      <c r="C55" s="14">
        <v>7.2</v>
      </c>
      <c r="D55" s="8">
        <f>B55/C55</f>
        <v>1.2374999999999994E-2</v>
      </c>
      <c r="H55" t="s">
        <v>24</v>
      </c>
      <c r="I55" s="14">
        <f>(510.05 - 501.52) * 0.015</f>
        <v>0.12795000000000045</v>
      </c>
      <c r="J55" s="7">
        <v>7.2</v>
      </c>
      <c r="K55" s="8">
        <f>I55/J55</f>
        <v>1.7770833333333395E-2</v>
      </c>
    </row>
    <row r="56" spans="1:12" x14ac:dyDescent="0.35">
      <c r="A56" t="s">
        <v>25</v>
      </c>
      <c r="B56" s="14">
        <f>(164.92 - 158.2) * 0.05</f>
        <v>0.33599999999999997</v>
      </c>
      <c r="C56" s="14">
        <v>7.25</v>
      </c>
      <c r="D56" s="8">
        <f t="shared" ref="D56:D79" si="2">B56/C56</f>
        <v>4.6344827586206894E-2</v>
      </c>
      <c r="H56" t="s">
        <v>25</v>
      </c>
      <c r="I56" s="14">
        <f>(172.41 - 165.37) * 0.05</f>
        <v>0.35199999999999965</v>
      </c>
      <c r="J56" s="7">
        <v>7.25</v>
      </c>
      <c r="K56" s="8">
        <f t="shared" ref="K56:K73" si="3">I56/J56</f>
        <v>4.8551724137930984E-2</v>
      </c>
    </row>
    <row r="57" spans="1:12" x14ac:dyDescent="0.35">
      <c r="A57" t="s">
        <v>27</v>
      </c>
      <c r="B57" s="14">
        <f>(225.02 - 223) * 0.029</f>
        <v>5.8580000000000298E-2</v>
      </c>
      <c r="C57" s="14">
        <v>6.19</v>
      </c>
      <c r="D57" s="8">
        <f t="shared" si="2"/>
        <v>9.4636510500808232E-3</v>
      </c>
      <c r="H57" t="s">
        <v>49</v>
      </c>
      <c r="I57" s="14">
        <f>(216.62 - 219.41) * 0.026 + (216.62 - 220) * 0.005</f>
        <v>-8.943999999999977E-2</v>
      </c>
      <c r="J57" s="7">
        <v>6.4</v>
      </c>
      <c r="K57" s="8">
        <f t="shared" si="3"/>
        <v>-1.3974999999999963E-2</v>
      </c>
    </row>
    <row r="58" spans="1:12" x14ac:dyDescent="0.35">
      <c r="A58" t="s">
        <v>30</v>
      </c>
      <c r="B58" s="14">
        <f>(25.65 - 25.36) * 0.227</f>
        <v>6.5829999999999805E-2</v>
      </c>
      <c r="C58" s="14">
        <v>5.45</v>
      </c>
      <c r="D58" s="8">
        <f t="shared" si="2"/>
        <v>1.2078899082568772E-2</v>
      </c>
      <c r="H58" t="s">
        <v>30</v>
      </c>
      <c r="I58" s="14">
        <f>(24.47 - 25.58) * 0.227</f>
        <v>-0.25196999999999986</v>
      </c>
      <c r="J58" s="7">
        <v>5.45</v>
      </c>
      <c r="K58" s="8">
        <f>I58/J58</f>
        <v>-4.6233027522935753E-2</v>
      </c>
    </row>
    <row r="59" spans="1:12" x14ac:dyDescent="0.35">
      <c r="A59" t="s">
        <v>28</v>
      </c>
      <c r="B59" s="14">
        <f>(304.1 - 308) * 0.017</f>
        <v>-6.6299999999999623E-2</v>
      </c>
      <c r="C59" s="14">
        <v>5.15</v>
      </c>
      <c r="D59" s="8">
        <f t="shared" si="2"/>
        <v>-1.2873786407766916E-2</v>
      </c>
      <c r="H59" t="s">
        <v>33</v>
      </c>
      <c r="I59" s="14">
        <f>(95.05 - 94.51) * 0.047 + (95.05 - 95.45) * 0.011</f>
        <v>2.0979999999999561E-2</v>
      </c>
      <c r="J59" s="7">
        <v>5.57</v>
      </c>
      <c r="K59" s="8">
        <f t="shared" si="3"/>
        <v>3.7666068222620397E-3</v>
      </c>
    </row>
    <row r="60" spans="1:12" x14ac:dyDescent="0.35">
      <c r="A60" t="s">
        <v>49</v>
      </c>
      <c r="B60" s="14">
        <f>(221.25 - 215.02) * 0.019 + (221.25 - 214.29) * 0.007</f>
        <v>0.16708999999999985</v>
      </c>
      <c r="C60" s="14">
        <v>5.3</v>
      </c>
      <c r="D60" s="8">
        <f t="shared" si="2"/>
        <v>3.1526415094339594E-2</v>
      </c>
      <c r="H60" t="s">
        <v>32</v>
      </c>
      <c r="I60" s="14">
        <f>(121.42 - 119.78) * 0.037</f>
        <v>6.0680000000000019E-2</v>
      </c>
      <c r="J60" s="7">
        <v>4.51</v>
      </c>
      <c r="K60" s="8">
        <f t="shared" si="3"/>
        <v>1.3454545454545459E-2</v>
      </c>
    </row>
    <row r="61" spans="1:12" x14ac:dyDescent="0.35">
      <c r="A61" t="s">
        <v>32</v>
      </c>
      <c r="B61" s="14">
        <f>(119.87 - 123.21) * 0.017 + (119.87 - 126.67) * 0.003 + (119.87 - 123.53) * 0.017</f>
        <v>-0.13939999999999977</v>
      </c>
      <c r="C61" s="14">
        <v>4.51</v>
      </c>
      <c r="D61" s="8">
        <f t="shared" si="2"/>
        <v>-3.0909090909090862E-2</v>
      </c>
      <c r="H61" t="s">
        <v>44</v>
      </c>
      <c r="I61" s="14">
        <f>(291.27 - 287.07) * 0.014 + (291.27 - 283.33) * 0.006</f>
        <v>0.10643999999999984</v>
      </c>
      <c r="J61" s="7">
        <v>5.56</v>
      </c>
      <c r="K61" s="8">
        <f t="shared" si="3"/>
        <v>1.9143884892086304E-2</v>
      </c>
    </row>
    <row r="62" spans="1:12" x14ac:dyDescent="0.35">
      <c r="A62" t="s">
        <v>26</v>
      </c>
      <c r="B62" s="14">
        <f>(180.19 - 179.06) * 0.021 + (180.19 - 190) * 0.006</f>
        <v>-3.5130000000000106E-2</v>
      </c>
      <c r="C62" s="14">
        <v>4.83</v>
      </c>
      <c r="D62" s="8">
        <f t="shared" si="2"/>
        <v>-7.2732919254658605E-3</v>
      </c>
      <c r="H62" t="s">
        <v>67</v>
      </c>
      <c r="I62" s="14">
        <f>(1103.59 - 1101.08) * 0.002 + (1103.59 - 1110) * 0.002</f>
        <v>-7.8000000000001827E-3</v>
      </c>
      <c r="J62" s="7">
        <v>4.38</v>
      </c>
      <c r="K62" s="8">
        <f t="shared" si="3"/>
        <v>-1.780821917808261E-3</v>
      </c>
    </row>
    <row r="63" spans="1:12" x14ac:dyDescent="0.35">
      <c r="A63" t="s">
        <v>33</v>
      </c>
      <c r="B63" s="14">
        <f>(94.4 - 98.23) * 0.036 + (94.4 - 98.18) * 0.047</f>
        <v>-0.31553999999999993</v>
      </c>
      <c r="C63" s="14">
        <v>4.5199999999999996</v>
      </c>
      <c r="D63" s="8">
        <f t="shared" si="2"/>
        <v>-6.9809734513274324E-2</v>
      </c>
      <c r="H63" t="s">
        <v>47</v>
      </c>
      <c r="I63" s="14">
        <f>(105.77 - 101.02) * 0.052</f>
        <v>0.247</v>
      </c>
      <c r="J63" s="7">
        <v>4.88</v>
      </c>
      <c r="K63" s="8">
        <f t="shared" si="3"/>
        <v>5.0614754098360658E-2</v>
      </c>
    </row>
    <row r="64" spans="1:12" x14ac:dyDescent="0.35">
      <c r="A64" t="s">
        <v>47</v>
      </c>
      <c r="B64" s="14">
        <f>(101.47 - 99.8) * 0.041 + (101.47 - 100) * 0.011</f>
        <v>8.4640000000000062E-2</v>
      </c>
      <c r="C64" s="14">
        <v>4.88</v>
      </c>
      <c r="D64" s="8">
        <f t="shared" si="2"/>
        <v>1.7344262295081979E-2</v>
      </c>
      <c r="H64" t="s">
        <v>26</v>
      </c>
      <c r="I64" s="14">
        <f>(185.06 - 181.01) * 0.027 + (185.06 - 195) * 0.006</f>
        <v>4.9710000000000323E-2</v>
      </c>
      <c r="J64" s="7">
        <v>6</v>
      </c>
      <c r="K64" s="8">
        <f t="shared" si="3"/>
        <v>8.2850000000000545E-3</v>
      </c>
    </row>
    <row r="65" spans="1:11" x14ac:dyDescent="0.35">
      <c r="A65" t="s">
        <v>46</v>
      </c>
      <c r="B65" s="14">
        <f>(76.62 - 75.55) * 0.041 + (76.62 - 75) * 0.014</f>
        <v>6.6550000000000373E-2</v>
      </c>
      <c r="C65" s="14">
        <v>3.93</v>
      </c>
      <c r="D65" s="8">
        <f t="shared" si="2"/>
        <v>1.6933842239185846E-2</v>
      </c>
      <c r="H65" t="s">
        <v>34</v>
      </c>
      <c r="I65" s="14">
        <f>(297.07 - 299.18) * 0.012</f>
        <v>-2.5320000000000165E-2</v>
      </c>
      <c r="J65" s="7">
        <v>3.52</v>
      </c>
      <c r="K65" s="8">
        <f t="shared" si="3"/>
        <v>-7.193181818181865E-3</v>
      </c>
    </row>
    <row r="66" spans="1:11" x14ac:dyDescent="0.35">
      <c r="A66" t="s">
        <v>50</v>
      </c>
      <c r="B66" s="14">
        <f>(704.95 - 721.7) * 0.004 +(704.95 - 715) * 0.002</f>
        <v>-8.7099999999999914E-2</v>
      </c>
      <c r="C66" s="14">
        <v>3.98</v>
      </c>
      <c r="D66" s="8">
        <f t="shared" si="2"/>
        <v>-2.1884422110552741E-2</v>
      </c>
      <c r="H66" t="s">
        <v>68</v>
      </c>
      <c r="I66" s="14">
        <f>(257.92 - 252.82) * 0.01 +(257.92 - 254.29) * 0.007</f>
        <v>7.6410000000000394E-2</v>
      </c>
      <c r="J66" s="7">
        <v>4.3499999999999996</v>
      </c>
      <c r="K66" s="8">
        <f t="shared" si="3"/>
        <v>1.7565517241379402E-2</v>
      </c>
    </row>
    <row r="67" spans="1:11" x14ac:dyDescent="0.35">
      <c r="A67" t="s">
        <v>34</v>
      </c>
      <c r="B67" s="14">
        <f>(299.91 - 294.12) * 0.012</f>
        <v>6.948000000000025E-2</v>
      </c>
      <c r="C67" s="14">
        <v>3.52</v>
      </c>
      <c r="D67" s="8">
        <f t="shared" si="2"/>
        <v>1.9738636363636434E-2</v>
      </c>
      <c r="H67" t="s">
        <v>66</v>
      </c>
      <c r="I67" s="14">
        <f>(413.71 - 404) * 0.006 + (413.71 - 405) * 0.002 + (413.71 - 402.5) * 0.004</f>
        <v>0.12051999999999977</v>
      </c>
      <c r="J67" s="7">
        <v>4.78</v>
      </c>
      <c r="K67" s="8">
        <f t="shared" si="3"/>
        <v>2.5213389121338862E-2</v>
      </c>
    </row>
    <row r="68" spans="1:11" x14ac:dyDescent="0.35">
      <c r="A68" t="s">
        <v>44</v>
      </c>
      <c r="B68" s="14">
        <f>(286.86 - 295.25) * 0.014</f>
        <v>-0.11745999999999981</v>
      </c>
      <c r="C68" s="14">
        <v>3.83</v>
      </c>
      <c r="D68" s="8">
        <f t="shared" si="2"/>
        <v>-3.0668407310704911E-2</v>
      </c>
      <c r="H68" t="s">
        <v>74</v>
      </c>
      <c r="I68" s="14">
        <f>(283.34 - 276.15) * 0.013</f>
        <v>9.346999999999997E-2</v>
      </c>
      <c r="J68" s="7">
        <v>3.59</v>
      </c>
      <c r="K68" s="8">
        <f t="shared" si="3"/>
        <v>2.6036211699164338E-2</v>
      </c>
    </row>
    <row r="69" spans="1:11" x14ac:dyDescent="0.35">
      <c r="A69" t="s">
        <v>62</v>
      </c>
      <c r="B69" s="14">
        <f>(42.33 - 42.89) * 0.083</f>
        <v>-4.6480000000000188E-2</v>
      </c>
      <c r="C69" s="14">
        <v>3.56</v>
      </c>
      <c r="D69" s="8">
        <f t="shared" si="2"/>
        <v>-1.3056179775280952E-2</v>
      </c>
      <c r="H69" t="s">
        <v>38</v>
      </c>
      <c r="I69" s="14">
        <f>(963.4 - 963.33) * 0.003 + (963.4 - 960) * 0.002</f>
        <v>7.0099999999997638E-3</v>
      </c>
      <c r="J69" s="7">
        <v>4.88</v>
      </c>
      <c r="K69" s="8">
        <f t="shared" si="3"/>
        <v>1.4364754098360171E-3</v>
      </c>
    </row>
    <row r="70" spans="1:11" x14ac:dyDescent="0.35">
      <c r="A70" t="s">
        <v>63</v>
      </c>
      <c r="B70" s="14">
        <f>(1245.11 - 1225) * 0.002</f>
        <v>4.0219999999999798E-2</v>
      </c>
      <c r="C70" s="14">
        <v>2.58</v>
      </c>
      <c r="D70" s="8">
        <f t="shared" si="2"/>
        <v>1.5589147286821627E-2</v>
      </c>
      <c r="H70" t="s">
        <v>63</v>
      </c>
      <c r="I70" s="14">
        <f>(1209.24 - 1244.91) * 0.002 + (1209.24 - 1230) * 0.001</f>
        <v>-9.210000000000014E-2</v>
      </c>
      <c r="J70" s="7">
        <v>3.85</v>
      </c>
      <c r="K70" s="8">
        <f t="shared" si="3"/>
        <v>-2.3922077922077959E-2</v>
      </c>
    </row>
    <row r="71" spans="1:11" x14ac:dyDescent="0.35">
      <c r="A71" t="s">
        <v>64</v>
      </c>
      <c r="B71" s="14">
        <f>(295.27 - 294.44) * 0.009</f>
        <v>7.4699999999998561E-3</v>
      </c>
      <c r="C71" s="14">
        <v>2.65</v>
      </c>
      <c r="D71" s="8">
        <f t="shared" si="2"/>
        <v>2.8188679245282479E-3</v>
      </c>
      <c r="H71" t="s">
        <v>75</v>
      </c>
      <c r="I71" s="14">
        <f>(91.64 - 94) * 0.05</f>
        <v>-0.11799999999999998</v>
      </c>
      <c r="J71" s="7">
        <v>4.7</v>
      </c>
      <c r="K71" s="8">
        <f t="shared" si="3"/>
        <v>-2.5106382978723397E-2</v>
      </c>
    </row>
    <row r="72" spans="1:11" x14ac:dyDescent="0.35">
      <c r="A72" t="s">
        <v>65</v>
      </c>
      <c r="B72" s="14">
        <f>(105.85 - 106.25) * 0.024</f>
        <v>-9.6000000000001362E-3</v>
      </c>
      <c r="C72" s="14">
        <v>2.5499999999999998</v>
      </c>
      <c r="D72" s="8">
        <f t="shared" si="2"/>
        <v>-3.7647058823529951E-3</v>
      </c>
      <c r="H72" t="s">
        <v>65</v>
      </c>
      <c r="I72" s="14">
        <f>(91.64 - 94.96) * 0.024 + (91.64 - 106) * 0.01</f>
        <v>-0.22327999999999984</v>
      </c>
      <c r="J72" s="7">
        <v>3.61</v>
      </c>
      <c r="K72" s="8">
        <f t="shared" si="3"/>
        <v>-6.1850415512465333E-2</v>
      </c>
    </row>
    <row r="73" spans="1:11" x14ac:dyDescent="0.35">
      <c r="A73" t="s">
        <v>66</v>
      </c>
      <c r="B73" s="14">
        <f>(405.92 - 393.33) * 0.006</f>
        <v>7.554000000000019E-2</v>
      </c>
      <c r="C73" s="14">
        <v>2.36</v>
      </c>
      <c r="D73" s="8">
        <f t="shared" si="2"/>
        <v>3.2008474576271269E-2</v>
      </c>
      <c r="H73" t="s">
        <v>46</v>
      </c>
      <c r="I73" s="14">
        <f>(76.63 - 76.29) * 0.055</f>
        <v>1.8699999999999405E-2</v>
      </c>
      <c r="J73" s="7">
        <v>3.93</v>
      </c>
      <c r="K73" s="8">
        <f t="shared" si="3"/>
        <v>4.7582697201016292E-3</v>
      </c>
    </row>
    <row r="74" spans="1:11" x14ac:dyDescent="0.35">
      <c r="A74" t="s">
        <v>67</v>
      </c>
      <c r="B74" s="14">
        <f>(1101.64 - 1080) * 0.001 + (1101.64 - 1080) * 0.001</f>
        <v>4.32800000000002E-2</v>
      </c>
      <c r="C74" s="14">
        <v>2.16</v>
      </c>
      <c r="D74" s="8">
        <f t="shared" si="2"/>
        <v>2.0037037037037127E-2</v>
      </c>
    </row>
    <row r="75" spans="1:11" x14ac:dyDescent="0.35">
      <c r="A75" t="s">
        <v>68</v>
      </c>
      <c r="B75" s="14">
        <f>(254.4 - 256.67) * 0.006 + (254.4 - 257.5) * 0.004</f>
        <v>-2.6020000000000036E-2</v>
      </c>
      <c r="C75" s="14">
        <v>2.57</v>
      </c>
      <c r="D75" s="8">
        <f t="shared" si="2"/>
        <v>-1.0124513618677057E-2</v>
      </c>
      <c r="I75" s="14">
        <f>SUM(I54:I73)</f>
        <v>0.51795999999999909</v>
      </c>
      <c r="J75" s="7">
        <f>SUM(J54:J73)</f>
        <v>101.54</v>
      </c>
      <c r="K75" s="8">
        <f>I75/J75</f>
        <v>5.1010439235769063E-3</v>
      </c>
    </row>
    <row r="76" spans="1:11" x14ac:dyDescent="0.35">
      <c r="A76" t="s">
        <v>69</v>
      </c>
      <c r="B76" s="14">
        <f>(291.97 - 290) * 0.009</f>
        <v>1.7730000000000246E-2</v>
      </c>
      <c r="C76" s="14">
        <v>2.61</v>
      </c>
      <c r="D76" s="8">
        <f t="shared" si="2"/>
        <v>6.7931034482759563E-3</v>
      </c>
    </row>
    <row r="77" spans="1:11" x14ac:dyDescent="0.35">
      <c r="A77" t="s">
        <v>70</v>
      </c>
      <c r="B77" s="14">
        <f>(434.86 - 420) * 0.006</f>
        <v>8.9160000000000086E-2</v>
      </c>
      <c r="C77" s="14">
        <v>2.52</v>
      </c>
      <c r="D77" s="8">
        <f t="shared" si="2"/>
        <v>3.5380952380952416E-2</v>
      </c>
    </row>
    <row r="78" spans="1:11" x14ac:dyDescent="0.35">
      <c r="B78" s="14"/>
      <c r="D78" s="8"/>
    </row>
    <row r="79" spans="1:11" x14ac:dyDescent="0.35">
      <c r="A79" t="s">
        <v>1</v>
      </c>
      <c r="B79" s="14">
        <f>SUM(B54:B77)</f>
        <v>0.31292000000000098</v>
      </c>
      <c r="C79" s="14">
        <f>SUM(C54:C77)</f>
        <v>101.22999999999998</v>
      </c>
      <c r="D79" s="8">
        <f t="shared" si="2"/>
        <v>3.0911785043959404E-3</v>
      </c>
    </row>
    <row r="81" spans="1:25" x14ac:dyDescent="0.35">
      <c r="Y81" s="5"/>
    </row>
    <row r="82" spans="1:25" x14ac:dyDescent="0.35">
      <c r="A82" s="3" t="s">
        <v>73</v>
      </c>
      <c r="H82" s="3" t="s">
        <v>78</v>
      </c>
    </row>
    <row r="83" spans="1:25" x14ac:dyDescent="0.35">
      <c r="A83" s="1" t="s">
        <v>0</v>
      </c>
      <c r="B83" t="s">
        <v>52</v>
      </c>
      <c r="C83" t="s">
        <v>53</v>
      </c>
      <c r="D83" t="s">
        <v>86</v>
      </c>
      <c r="E83" t="s">
        <v>107</v>
      </c>
      <c r="H83" s="1" t="s">
        <v>0</v>
      </c>
      <c r="I83" t="s">
        <v>52</v>
      </c>
      <c r="J83" t="s">
        <v>53</v>
      </c>
      <c r="K83" t="s">
        <v>86</v>
      </c>
      <c r="L83" t="s">
        <v>108</v>
      </c>
      <c r="Y83" s="5"/>
    </row>
    <row r="84" spans="1:25" x14ac:dyDescent="0.35">
      <c r="A84" t="s">
        <v>23</v>
      </c>
      <c r="B84" s="14">
        <f>(213.88-212.1)*0.036</f>
        <v>6.408000000000004E-2</v>
      </c>
      <c r="C84" s="13">
        <v>7.13</v>
      </c>
      <c r="D84" s="8">
        <f>B84/C84</f>
        <v>8.98737727910239E-3</v>
      </c>
      <c r="H84" s="2" t="s">
        <v>23</v>
      </c>
      <c r="I84" s="14">
        <f>(202.38 - 214.18)*(0.007+0.029) + (202.38 - 212.22)*(0.009)</f>
        <v>-0.51336000000000048</v>
      </c>
      <c r="J84" s="14">
        <v>9.0399999999999991</v>
      </c>
      <c r="K84" s="8">
        <f>I84/J84</f>
        <v>-5.6787610619469082E-2</v>
      </c>
    </row>
    <row r="85" spans="1:25" x14ac:dyDescent="0.35">
      <c r="A85" t="s">
        <v>24</v>
      </c>
      <c r="B85" s="14">
        <f>(513.71-506.71)*0.015</f>
        <v>0.10500000000000084</v>
      </c>
      <c r="C85" s="13">
        <v>7.2</v>
      </c>
      <c r="D85" s="8">
        <f>B85/C85</f>
        <v>1.458333333333345E-2</v>
      </c>
      <c r="H85" s="2" t="s">
        <v>25</v>
      </c>
      <c r="I85" s="14">
        <f>(173.72 - 177.96) * 0.05 + (173.72 - 176.36) * 0.011</f>
        <v>-0.24104000000000061</v>
      </c>
      <c r="J85" s="14">
        <v>9.19</v>
      </c>
      <c r="K85" s="8">
        <f>I85/J85</f>
        <v>-2.6228509249183962E-2</v>
      </c>
      <c r="V85" t="s">
        <v>96</v>
      </c>
    </row>
    <row r="86" spans="1:25" x14ac:dyDescent="0.35">
      <c r="A86" t="s">
        <v>25</v>
      </c>
      <c r="B86" s="14">
        <f>(173.5 - 172.75) * 0.05</f>
        <v>3.7500000000000006E-2</v>
      </c>
      <c r="C86" s="13">
        <v>7.25</v>
      </c>
      <c r="D86" s="8">
        <f t="shared" ref="D86:D105" si="4">B86/C86</f>
        <v>5.1724137931034491E-3</v>
      </c>
      <c r="H86" s="2" t="s">
        <v>26</v>
      </c>
      <c r="I86" s="14">
        <f>(189.13 - 192.43) * 0.033 + (189.13 - 195) * 0.006</f>
        <v>-0.14412000000000041</v>
      </c>
      <c r="J86" s="14">
        <v>7.17</v>
      </c>
      <c r="K86" s="8">
        <f t="shared" ref="K86:K103" si="5">I86/J86</f>
        <v>-2.0100418410041898E-2</v>
      </c>
    </row>
    <row r="87" spans="1:25" x14ac:dyDescent="0.35">
      <c r="A87" t="s">
        <v>30</v>
      </c>
      <c r="B87" s="14">
        <f>(24.97 - 24.59) * 0.186</f>
        <v>7.0679999999999812E-2</v>
      </c>
      <c r="C87" s="13">
        <v>4.45</v>
      </c>
      <c r="D87" s="8">
        <f t="shared" si="4"/>
        <v>1.5883146067415688E-2</v>
      </c>
      <c r="H87" s="2" t="s">
        <v>46</v>
      </c>
      <c r="I87" s="14">
        <f>(66.92 - 73.88) * 0.055 + (66.92 - 71.82) * 0.044</f>
        <v>-0.59839999999999927</v>
      </c>
      <c r="J87" s="14">
        <v>7.09</v>
      </c>
      <c r="K87" s="8">
        <f t="shared" si="5"/>
        <v>-8.440056417489411E-2</v>
      </c>
    </row>
    <row r="88" spans="1:25" x14ac:dyDescent="0.35">
      <c r="A88" t="s">
        <v>33</v>
      </c>
      <c r="B88" s="14">
        <f>(97.47 - 95.26) * 0.045</f>
        <v>9.9449999999999719E-2</v>
      </c>
      <c r="C88" s="13">
        <v>4.34</v>
      </c>
      <c r="D88" s="8">
        <f t="shared" si="4"/>
        <v>2.2914746543778737E-2</v>
      </c>
      <c r="H88" s="2" t="s">
        <v>70</v>
      </c>
      <c r="I88" s="14">
        <f>(463.04-482.24)*0.009 + (463.04-487.14)*0.007</f>
        <v>-0.34149999999999969</v>
      </c>
      <c r="J88" s="14">
        <v>7.08</v>
      </c>
      <c r="K88" s="8">
        <f t="shared" si="5"/>
        <v>-4.8234463276836115E-2</v>
      </c>
    </row>
    <row r="89" spans="1:25" x14ac:dyDescent="0.35">
      <c r="A89" t="s">
        <v>32</v>
      </c>
      <c r="B89" s="14">
        <f>(121.47 - 121.07) * 0.037</f>
        <v>1.4800000000000209E-2</v>
      </c>
      <c r="C89" s="13">
        <v>4.51</v>
      </c>
      <c r="D89" s="8">
        <f t="shared" si="4"/>
        <v>3.281596452328206E-3</v>
      </c>
      <c r="H89" s="2" t="s">
        <v>27</v>
      </c>
      <c r="I89" s="14">
        <f>(214.75-234.15)*0.019 + (214.75-231.67)*0.012</f>
        <v>-0.57163999999999993</v>
      </c>
      <c r="J89" s="14">
        <v>7.12</v>
      </c>
      <c r="K89" s="8">
        <f t="shared" si="5"/>
        <v>-8.0286516853932566E-2</v>
      </c>
    </row>
    <row r="90" spans="1:25" x14ac:dyDescent="0.35">
      <c r="A90" t="s">
        <v>47</v>
      </c>
      <c r="B90" s="14">
        <f>(106.93 - 106) * 0.052</f>
        <v>4.8360000000000354E-2</v>
      </c>
      <c r="C90" s="13">
        <v>4.88</v>
      </c>
      <c r="D90" s="8">
        <f t="shared" si="4"/>
        <v>9.9098360655738432E-3</v>
      </c>
      <c r="H90" s="2" t="s">
        <v>74</v>
      </c>
      <c r="I90" s="14">
        <f>(288.64-297.5)*0.018</f>
        <v>-0.15948000000000023</v>
      </c>
      <c r="J90" s="14">
        <v>5.03</v>
      </c>
      <c r="K90" s="8">
        <f t="shared" si="5"/>
        <v>-3.1705765407554716E-2</v>
      </c>
    </row>
    <row r="91" spans="1:25" x14ac:dyDescent="0.35">
      <c r="A91" t="s">
        <v>26</v>
      </c>
      <c r="B91" s="14">
        <f>(193.18 - 186.25) * 0.033</f>
        <v>0.22869000000000023</v>
      </c>
      <c r="C91" s="13">
        <v>6</v>
      </c>
      <c r="D91" s="8">
        <f t="shared" si="4"/>
        <v>3.8115000000000038E-2</v>
      </c>
      <c r="H91" s="2" t="s">
        <v>30</v>
      </c>
      <c r="I91" s="14">
        <f>(23.49 - 24.31) * 0.186 + (23.49 - 24.22) * 0.045</f>
        <v>-0.18537000000000006</v>
      </c>
      <c r="J91" s="14">
        <v>5.54</v>
      </c>
      <c r="K91" s="8">
        <f t="shared" si="5"/>
        <v>-3.3460288808664272E-2</v>
      </c>
    </row>
    <row r="92" spans="1:25" x14ac:dyDescent="0.35">
      <c r="A92" t="s">
        <v>66</v>
      </c>
      <c r="B92" s="14">
        <f>(433.75 - 417.22) * 0.012 + (433.75 - 416.67) * 0.003</f>
        <v>0.24959999999999963</v>
      </c>
      <c r="C92" s="13">
        <v>6.03</v>
      </c>
      <c r="D92" s="8">
        <f t="shared" si="4"/>
        <v>4.1393034825870582E-2</v>
      </c>
      <c r="H92" s="2" t="s">
        <v>24</v>
      </c>
      <c r="I92" s="14">
        <f>(524.11-513.05)*0.012</f>
        <v>0.1327200000000007</v>
      </c>
      <c r="J92" s="14">
        <v>5.76</v>
      </c>
      <c r="K92" s="8">
        <f t="shared" si="5"/>
        <v>2.304166666666679E-2</v>
      </c>
    </row>
    <row r="93" spans="1:25" x14ac:dyDescent="0.35">
      <c r="A93" t="s">
        <v>74</v>
      </c>
      <c r="B93" s="14">
        <f>(290.18 - 283.96) * 0.013 + (290.18 - 288) * 0.005</f>
        <v>9.1760000000000383E-2</v>
      </c>
      <c r="C93" s="13">
        <v>5.03</v>
      </c>
      <c r="D93" s="8">
        <f t="shared" si="4"/>
        <v>1.8242544731610414E-2</v>
      </c>
      <c r="H93" s="2" t="s">
        <v>33</v>
      </c>
      <c r="I93" s="14">
        <f>(98.49-97.78)*0.045</f>
        <v>3.1949999999999715E-2</v>
      </c>
      <c r="J93" s="14">
        <v>4.34</v>
      </c>
      <c r="K93" s="8">
        <f t="shared" si="5"/>
        <v>7.3617511520736676E-3</v>
      </c>
    </row>
    <row r="94" spans="1:25" x14ac:dyDescent="0.35">
      <c r="A94" t="s">
        <v>44</v>
      </c>
      <c r="B94" s="14">
        <f>(298.62 - 291) * 0.014</f>
        <v>0.10668000000000007</v>
      </c>
      <c r="C94" s="13">
        <v>3.92</v>
      </c>
      <c r="D94" s="8">
        <f t="shared" si="4"/>
        <v>2.7214285714285733E-2</v>
      </c>
      <c r="H94" s="2" t="s">
        <v>34</v>
      </c>
      <c r="I94" s="14">
        <f>(302.89 - 298.95) * 0.012 + (302.89 - 300) * 0.004</f>
        <v>5.883999999999992E-2</v>
      </c>
      <c r="J94" s="14">
        <v>4.72</v>
      </c>
      <c r="K94" s="8">
        <f t="shared" si="5"/>
        <v>1.2466101694915238E-2</v>
      </c>
    </row>
    <row r="95" spans="1:25" x14ac:dyDescent="0.35">
      <c r="A95" t="s">
        <v>67</v>
      </c>
      <c r="B95" s="14">
        <f>(1123.28 - 1107.68) * 0.003</f>
        <v>4.6799999999999731E-2</v>
      </c>
      <c r="C95" s="13">
        <v>3.3</v>
      </c>
      <c r="D95" s="8">
        <f t="shared" si="4"/>
        <v>1.4181818181818101E-2</v>
      </c>
      <c r="H95" s="2" t="s">
        <v>68</v>
      </c>
      <c r="I95" s="14">
        <f>(279.2 - 272.58) * 0.013 + (279.2 - 277.5) * 0.004</f>
        <v>9.2860000000000012E-2</v>
      </c>
      <c r="J95" s="14">
        <v>4.43</v>
      </c>
      <c r="K95" s="8">
        <f t="shared" si="5"/>
        <v>2.0961625282167048E-2</v>
      </c>
    </row>
    <row r="96" spans="1:25" x14ac:dyDescent="0.35">
      <c r="A96" t="s">
        <v>46</v>
      </c>
      <c r="B96" s="14">
        <f>(80.73 - 76.8) * 0.055</f>
        <v>0.21615000000000037</v>
      </c>
      <c r="C96" s="13">
        <v>3.93</v>
      </c>
      <c r="D96" s="8">
        <f t="shared" si="4"/>
        <v>5.500000000000009E-2</v>
      </c>
      <c r="H96" s="2" t="s">
        <v>28</v>
      </c>
      <c r="I96" s="14">
        <f>(237.77-270.59)*0.017</f>
        <v>-0.55793999999999944</v>
      </c>
      <c r="J96" s="14">
        <v>4.5999999999999996</v>
      </c>
      <c r="K96" s="8">
        <f t="shared" si="5"/>
        <v>-0.12129130434782598</v>
      </c>
    </row>
    <row r="97" spans="1:12" x14ac:dyDescent="0.35">
      <c r="A97" t="s">
        <v>49</v>
      </c>
      <c r="B97" s="14">
        <f>(184.99 - 217.44) * 0.017</f>
        <v>-0.55164999999999986</v>
      </c>
      <c r="C97" s="13">
        <v>3.6</v>
      </c>
      <c r="D97" s="8">
        <f t="shared" si="4"/>
        <v>-0.15323611111111107</v>
      </c>
      <c r="H97" s="2" t="s">
        <v>44</v>
      </c>
      <c r="I97" s="14">
        <f>(289.37 - 300) * 0.014</f>
        <v>-0.14881999999999995</v>
      </c>
      <c r="J97" s="14">
        <v>3.92</v>
      </c>
      <c r="K97" s="8">
        <f t="shared" si="5"/>
        <v>-3.79642857142857E-2</v>
      </c>
    </row>
    <row r="98" spans="1:12" x14ac:dyDescent="0.35">
      <c r="A98" t="s">
        <v>65</v>
      </c>
      <c r="B98" s="14">
        <f>(111.73 - 109.07) * 0.034</f>
        <v>9.0440000000000367E-2</v>
      </c>
      <c r="C98" s="13">
        <v>3.61</v>
      </c>
      <c r="D98" s="8">
        <f t="shared" si="4"/>
        <v>2.5052631578947472E-2</v>
      </c>
      <c r="H98" s="2" t="s">
        <v>49</v>
      </c>
      <c r="I98" s="14">
        <f>(180.86-189.71)*0.017</f>
        <v>-0.15044999999999992</v>
      </c>
      <c r="J98" s="14">
        <v>3.6</v>
      </c>
      <c r="K98" s="8">
        <f t="shared" si="5"/>
        <v>-4.1791666666666644E-2</v>
      </c>
    </row>
    <row r="99" spans="1:12" x14ac:dyDescent="0.35">
      <c r="A99" t="s">
        <v>34</v>
      </c>
      <c r="B99" s="14">
        <f>(298.47 - 298.11) * 0.012</f>
        <v>4.320000000000164E-3</v>
      </c>
      <c r="C99" s="13">
        <v>3.52</v>
      </c>
      <c r="D99" s="8">
        <f t="shared" si="4"/>
        <v>1.2272727272727739E-3</v>
      </c>
      <c r="H99" s="2" t="s">
        <v>67</v>
      </c>
      <c r="I99" s="14">
        <f>(1091.8-1123.35)*0.003</f>
        <v>-9.4649999999999859E-2</v>
      </c>
      <c r="J99" s="14">
        <v>3.3</v>
      </c>
      <c r="K99" s="8">
        <f t="shared" si="5"/>
        <v>-2.8681818181818142E-2</v>
      </c>
    </row>
    <row r="100" spans="1:12" x14ac:dyDescent="0.35">
      <c r="A100" t="s">
        <v>68</v>
      </c>
      <c r="B100" s="14">
        <f>(275.16 - 258.65) * 0.013</f>
        <v>0.2146300000000006</v>
      </c>
      <c r="C100" s="13">
        <v>3.32</v>
      </c>
      <c r="D100" s="8">
        <f t="shared" si="4"/>
        <v>6.4647590361445961E-2</v>
      </c>
      <c r="H100" s="2" t="s">
        <v>80</v>
      </c>
      <c r="I100" s="14">
        <f>(67.11-68.23)*0.05</f>
        <v>-5.600000000000023E-2</v>
      </c>
      <c r="J100" s="14">
        <v>3.43</v>
      </c>
      <c r="K100" s="8">
        <f t="shared" si="5"/>
        <v>-1.6326530612244965E-2</v>
      </c>
    </row>
    <row r="101" spans="1:12" x14ac:dyDescent="0.35">
      <c r="A101" t="s">
        <v>79</v>
      </c>
      <c r="B101" s="14">
        <f>(467.92 - 478.71) * 0.011</f>
        <v>-0.11868999999999959</v>
      </c>
      <c r="C101" s="13">
        <v>5.3</v>
      </c>
      <c r="D101" s="8">
        <f t="shared" si="4"/>
        <v>-2.2394339622641431E-2</v>
      </c>
      <c r="H101" s="2" t="s">
        <v>66</v>
      </c>
      <c r="I101" s="14">
        <f>(428.69 - 434.55) * 0.005</f>
        <v>-2.9300000000000069E-2</v>
      </c>
      <c r="J101" s="14">
        <v>2.06</v>
      </c>
      <c r="K101" s="8">
        <f t="shared" si="5"/>
        <v>-1.422330097087382E-2</v>
      </c>
    </row>
    <row r="102" spans="1:12" x14ac:dyDescent="0.35">
      <c r="A102" t="s">
        <v>35</v>
      </c>
      <c r="B102" s="14">
        <f>(76.27 - 74.26) * 0.047</f>
        <v>9.4469999999999568E-2</v>
      </c>
      <c r="C102" s="13">
        <v>3.49</v>
      </c>
      <c r="D102" s="8">
        <f t="shared" si="4"/>
        <v>2.7068767908309331E-2</v>
      </c>
      <c r="H102" s="2" t="s">
        <v>84</v>
      </c>
      <c r="I102" s="14">
        <f>(55.98-59)*0.03</f>
        <v>-9.0600000000000097E-2</v>
      </c>
      <c r="J102" s="14">
        <v>1.77</v>
      </c>
      <c r="K102" s="8">
        <f t="shared" si="5"/>
        <v>-5.1186440677966155E-2</v>
      </c>
    </row>
    <row r="103" spans="1:12" x14ac:dyDescent="0.35">
      <c r="A103" t="s">
        <v>80</v>
      </c>
      <c r="B103" s="14">
        <f>(68.69 - 68.6) * 0.05</f>
        <v>4.5000000000001705E-3</v>
      </c>
      <c r="C103" s="13">
        <v>3.43</v>
      </c>
      <c r="D103" s="8">
        <f>B103/C103</f>
        <v>1.311953352769729E-3</v>
      </c>
      <c r="H103" s="2" t="s">
        <v>36</v>
      </c>
      <c r="I103" s="14">
        <f>(250.74 - 268.33) * 0.006</f>
        <v>-0.10553999999999986</v>
      </c>
      <c r="J103" s="14">
        <v>1.61</v>
      </c>
      <c r="K103" s="8">
        <f t="shared" si="5"/>
        <v>-6.5552795031055808E-2</v>
      </c>
    </row>
    <row r="104" spans="1:12" x14ac:dyDescent="0.35">
      <c r="A104" t="s">
        <v>27</v>
      </c>
      <c r="B104" s="14">
        <f>(231.44 - 228.42) * 0.019</f>
        <v>5.7380000000000195E-2</v>
      </c>
      <c r="C104" s="13">
        <v>4.34</v>
      </c>
      <c r="D104" s="8">
        <f t="shared" si="4"/>
        <v>1.3221198156682074E-2</v>
      </c>
    </row>
    <row r="105" spans="1:12" x14ac:dyDescent="0.35">
      <c r="A105" t="s">
        <v>70</v>
      </c>
      <c r="B105" s="14">
        <f>(478.32 - 407.78) * 0.009</f>
        <v>0.63486000000000009</v>
      </c>
      <c r="C105" s="13">
        <v>3.67</v>
      </c>
      <c r="D105" s="8">
        <f t="shared" si="4"/>
        <v>0.17298637602179839</v>
      </c>
      <c r="H105" s="2" t="s">
        <v>1</v>
      </c>
      <c r="I105" s="14">
        <f>SUM(I84:I103)</f>
        <v>-3.6718399999999995</v>
      </c>
      <c r="J105" s="14">
        <f>SUM(J84:J103)</f>
        <v>100.79999999999998</v>
      </c>
      <c r="K105" s="8">
        <f>I105/J105</f>
        <v>-3.6426984126984127E-2</v>
      </c>
    </row>
    <row r="107" spans="1:12" x14ac:dyDescent="0.35">
      <c r="B107" s="14">
        <f>SUM(B84:B105)</f>
        <v>1.8098100000000032</v>
      </c>
      <c r="C107" s="14">
        <f>SUM(C84:C105)</f>
        <v>102.25</v>
      </c>
      <c r="D107" s="8">
        <f>B107/C107</f>
        <v>1.7699853300733526E-2</v>
      </c>
    </row>
    <row r="110" spans="1:12" x14ac:dyDescent="0.35">
      <c r="A110" s="3" t="s">
        <v>83</v>
      </c>
      <c r="H110" s="3" t="s">
        <v>95</v>
      </c>
    </row>
    <row r="111" spans="1:12" x14ac:dyDescent="0.35">
      <c r="A111" s="1" t="s">
        <v>0</v>
      </c>
      <c r="B111" t="s">
        <v>52</v>
      </c>
      <c r="C111" t="s">
        <v>53</v>
      </c>
      <c r="D111" t="s">
        <v>86</v>
      </c>
      <c r="E111" t="s">
        <v>109</v>
      </c>
      <c r="H111" s="1" t="s">
        <v>0</v>
      </c>
      <c r="I111" t="s">
        <v>52</v>
      </c>
      <c r="J111" t="s">
        <v>53</v>
      </c>
      <c r="K111" t="s">
        <v>86</v>
      </c>
      <c r="L111" t="s">
        <v>110</v>
      </c>
    </row>
    <row r="112" spans="1:12" x14ac:dyDescent="0.35">
      <c r="A112" t="s">
        <v>23</v>
      </c>
      <c r="B112" s="14">
        <f>(229.35-204.52)*0.045 + (229.35-205.71)*0.007</f>
        <v>1.282829999999999</v>
      </c>
      <c r="C112" s="14">
        <v>10.48</v>
      </c>
      <c r="D112" s="8">
        <f>B112/C112</f>
        <v>0.12240744274809151</v>
      </c>
      <c r="H112" t="s">
        <v>23</v>
      </c>
      <c r="I112" s="14">
        <f>(231.59-228.01)*0.052</f>
        <v>0.18616000000000063</v>
      </c>
      <c r="J112" s="14">
        <v>10.48</v>
      </c>
      <c r="K112" s="14">
        <f>I112/J112</f>
        <v>1.7763358778626014E-2</v>
      </c>
    </row>
    <row r="113" spans="1:21" x14ac:dyDescent="0.35">
      <c r="A113" t="s">
        <v>25</v>
      </c>
      <c r="B113" s="14">
        <f>(182.7-175.16)*0.061 + (182.7-178.75)*0.008</f>
        <v>0.49153999999999942</v>
      </c>
      <c r="C113" s="14">
        <v>10.62</v>
      </c>
      <c r="D113" s="8">
        <f>B113/C113</f>
        <v>4.6284369114877537E-2</v>
      </c>
      <c r="H113" t="s">
        <v>25</v>
      </c>
      <c r="I113" s="14">
        <f>(180.45-182.96) *0.069</f>
        <v>-0.17319000000000134</v>
      </c>
      <c r="J113" s="14">
        <v>10.62</v>
      </c>
      <c r="K113" s="14">
        <f>I113/J113</f>
        <v>-1.6307909604519902E-2</v>
      </c>
      <c r="L113" s="20"/>
      <c r="M113" s="20"/>
      <c r="N113" s="20"/>
      <c r="O113" s="21"/>
      <c r="P113" s="22"/>
    </row>
    <row r="114" spans="1:21" x14ac:dyDescent="0.35">
      <c r="A114" t="s">
        <v>26</v>
      </c>
      <c r="B114" s="14">
        <f>(201.42-190.29)*0.039 + (201.42-194.29)*0.007</f>
        <v>0.4839799999999998</v>
      </c>
      <c r="C114" s="14">
        <v>8.5299999999999994</v>
      </c>
      <c r="D114" s="8">
        <f>B114/C114</f>
        <v>5.6738569753810066E-2</v>
      </c>
      <c r="H114" t="s">
        <v>26</v>
      </c>
      <c r="I114" s="14">
        <f>(203.9-201.37)*0.046</f>
        <v>0.11638000000000005</v>
      </c>
      <c r="J114" s="14">
        <v>8.5299999999999994</v>
      </c>
      <c r="K114" s="14">
        <f>I114/J114</f>
        <v>1.3643610785463079E-2</v>
      </c>
      <c r="L114" s="20"/>
      <c r="M114" s="20"/>
      <c r="N114" s="20"/>
      <c r="O114" s="21"/>
      <c r="P114" s="22"/>
    </row>
    <row r="115" spans="1:21" x14ac:dyDescent="0.35">
      <c r="A115" t="s">
        <v>24</v>
      </c>
      <c r="B115" s="14">
        <f>(522.04-528.27)*0.012 + (522.04-536.67)*0.003 + (522.04-535)*0.002</f>
        <v>-0.14457000000000028</v>
      </c>
      <c r="C115" s="14">
        <v>8.44</v>
      </c>
      <c r="D115" s="8">
        <f>B115/C115</f>
        <v>-1.7129146919431314E-2</v>
      </c>
      <c r="H115" t="s">
        <v>74</v>
      </c>
      <c r="I115" s="14">
        <f>(306.34-306.63)*0.026 + (306.34-310)*0.004</f>
        <v>-2.2180000000000633E-2</v>
      </c>
      <c r="J115" s="14">
        <v>8.65</v>
      </c>
      <c r="K115" s="14">
        <f>I115/J115</f>
        <v>-2.5641618497110556E-3</v>
      </c>
      <c r="L115" s="20"/>
      <c r="M115" s="20"/>
      <c r="N115" s="20"/>
      <c r="O115" s="20"/>
      <c r="P115" s="20"/>
    </row>
    <row r="116" spans="1:21" x14ac:dyDescent="0.35">
      <c r="A116" t="s">
        <v>27</v>
      </c>
      <c r="B116" s="14">
        <f>(222.69-217.4)*0.031</f>
        <v>0.16398999999999975</v>
      </c>
      <c r="C116" s="14">
        <v>7.12</v>
      </c>
      <c r="D116" s="8">
        <f>B116/C116</f>
        <v>2.3032303370786482E-2</v>
      </c>
      <c r="H116" t="s">
        <v>68</v>
      </c>
      <c r="I116" s="14">
        <f>(284.89-284.96)*0.017 + (284.89-282)*0.015</f>
        <v>4.2159999999999906E-2</v>
      </c>
      <c r="J116" s="14">
        <v>8.66</v>
      </c>
      <c r="K116" s="14">
        <f>I116/J116</f>
        <v>4.8683602771362475E-3</v>
      </c>
    </row>
    <row r="117" spans="1:21" x14ac:dyDescent="0.35">
      <c r="A117" t="s">
        <v>74</v>
      </c>
      <c r="B117" s="14">
        <f>(304.97-292.2)*0.018 + (304.97-297.5)*0.008</f>
        <v>0.28962000000000088</v>
      </c>
      <c r="C117" s="14">
        <v>7.41</v>
      </c>
      <c r="D117" s="8">
        <f>B117/C117</f>
        <v>3.9085020242915096E-2</v>
      </c>
      <c r="H117" t="s">
        <v>94</v>
      </c>
      <c r="I117" s="14">
        <f>(176.64-174)*0.012 + (176.64-172.37)*0.038</f>
        <v>0.19393999999999914</v>
      </c>
      <c r="J117" s="14">
        <v>8.58</v>
      </c>
      <c r="K117" s="14">
        <f>I117/J117</f>
        <v>2.2603729603729503E-2</v>
      </c>
    </row>
    <row r="118" spans="1:21" x14ac:dyDescent="0.35">
      <c r="A118" t="s">
        <v>30</v>
      </c>
      <c r="B118" s="14">
        <f>(24.58-23.44)*0.231 + (24.58-23.62)*0.08</f>
        <v>0.34013999999999911</v>
      </c>
      <c r="C118" s="14">
        <v>7.43</v>
      </c>
      <c r="D118" s="8">
        <f>B118/C118</f>
        <v>4.5779273216688982E-2</v>
      </c>
      <c r="H118" t="s">
        <v>70</v>
      </c>
      <c r="I118" s="14">
        <f>(489.01-460.91)*0.018</f>
        <v>0.50579999999999936</v>
      </c>
      <c r="J118" s="14">
        <v>7.08</v>
      </c>
      <c r="K118" s="14">
        <f>I118/J118</f>
        <v>7.1440677966101609E-2</v>
      </c>
    </row>
    <row r="119" spans="1:21" x14ac:dyDescent="0.35">
      <c r="A119" t="s">
        <v>70</v>
      </c>
      <c r="B119" s="14">
        <f>(460.72-460.1)*0.018</f>
        <v>1.1160000000000081E-2</v>
      </c>
      <c r="C119" s="14">
        <v>7.08</v>
      </c>
      <c r="D119" s="8">
        <f>B119/C119</f>
        <v>1.5762711864406895E-3</v>
      </c>
      <c r="H119" t="s">
        <v>33</v>
      </c>
      <c r="I119" s="14">
        <f>(100-104.25)*0.065</f>
        <v>-0.27625</v>
      </c>
      <c r="J119" s="14">
        <v>6.33</v>
      </c>
      <c r="K119" s="14">
        <f>I119/J119</f>
        <v>-4.364139020537125E-2</v>
      </c>
    </row>
    <row r="120" spans="1:21" x14ac:dyDescent="0.35">
      <c r="A120" t="s">
        <v>33</v>
      </c>
      <c r="B120" s="14">
        <f>(103.73-98.2)*0.045 + (103.73-99.5)*0.02</f>
        <v>0.33345000000000014</v>
      </c>
      <c r="C120" s="14">
        <v>6.33</v>
      </c>
      <c r="D120" s="8">
        <f>B120/C120</f>
        <v>5.2677725118483433E-2</v>
      </c>
      <c r="H120" t="s">
        <v>80</v>
      </c>
      <c r="I120" s="14">
        <f>(66.2-70.79)*0.05 + (66.2-71.11)*0.027</f>
        <v>-0.36207000000000011</v>
      </c>
      <c r="J120" s="14">
        <v>5.35</v>
      </c>
      <c r="K120" s="14">
        <f>I120/J120</f>
        <v>-6.7676635514018715E-2</v>
      </c>
    </row>
    <row r="121" spans="1:21" x14ac:dyDescent="0.35">
      <c r="A121" t="s">
        <v>28</v>
      </c>
      <c r="B121" s="14">
        <f>(250.89-238.24)*0.017</f>
        <v>0.21504999999999963</v>
      </c>
      <c r="C121" s="14">
        <v>4.5999999999999996</v>
      </c>
      <c r="D121" s="8">
        <f>B121/C121</f>
        <v>4.6749999999999924E-2</v>
      </c>
      <c r="H121" t="s">
        <v>28</v>
      </c>
      <c r="I121" s="14">
        <f>(304.01-254.02)*0.017</f>
        <v>0.84982999999999975</v>
      </c>
      <c r="J121" s="14">
        <v>4.5999999999999996</v>
      </c>
      <c r="K121" s="14">
        <f>I121/J121</f>
        <v>0.18474565217391301</v>
      </c>
    </row>
    <row r="122" spans="1:21" x14ac:dyDescent="0.35">
      <c r="A122" t="s">
        <v>63</v>
      </c>
      <c r="B122" s="14">
        <f>(1211.64-1235)*0.002 + (1211.64-1180)*0.003</f>
        <v>4.8200000000000492E-2</v>
      </c>
      <c r="C122" s="14">
        <v>6.01</v>
      </c>
      <c r="D122" s="8">
        <f>B122/C122</f>
        <v>8.0199667221298662E-3</v>
      </c>
      <c r="H122" t="s">
        <v>93</v>
      </c>
      <c r="I122" s="14">
        <f>(210.93-200.17)*0.022</f>
        <v>0.2367200000000004</v>
      </c>
      <c r="J122" s="14">
        <v>4.33</v>
      </c>
      <c r="K122" s="14">
        <f>I122/J122</f>
        <v>5.4669745958429654E-2</v>
      </c>
    </row>
    <row r="123" spans="1:21" x14ac:dyDescent="0.35">
      <c r="A123" t="s">
        <v>68</v>
      </c>
      <c r="B123" s="14">
        <f>(283.9-279)*0.017</f>
        <v>8.3299999999999624E-2</v>
      </c>
      <c r="C123" s="14">
        <v>4.43</v>
      </c>
      <c r="D123" s="8">
        <f>B123/C123</f>
        <v>1.8803611738148901E-2</v>
      </c>
      <c r="H123" t="s">
        <v>30</v>
      </c>
      <c r="I123" s="14">
        <f>(25.14-24.66)*0.18</f>
        <v>8.6400000000000074E-2</v>
      </c>
      <c r="J123" s="14">
        <v>4.29</v>
      </c>
      <c r="K123" s="14">
        <f>I123/J123</f>
        <v>2.0139860139860157E-2</v>
      </c>
    </row>
    <row r="124" spans="1:21" x14ac:dyDescent="0.35">
      <c r="A124" t="s">
        <v>93</v>
      </c>
      <c r="B124" s="14">
        <f>(200.56-196.82)*0.022</f>
        <v>8.22800000000002E-2</v>
      </c>
      <c r="C124" s="14">
        <v>4.33</v>
      </c>
      <c r="D124" s="8">
        <f>B124/C124</f>
        <v>1.9002309468822216E-2</v>
      </c>
      <c r="H124" t="s">
        <v>31</v>
      </c>
      <c r="I124" s="14">
        <f>(69.92-70.65)*0.031</f>
        <v>-2.2630000000000122E-2</v>
      </c>
      <c r="J124" s="14">
        <v>4.32</v>
      </c>
      <c r="K124" s="14">
        <f>I124/J124</f>
        <v>-5.2384259259259536E-3</v>
      </c>
    </row>
    <row r="125" spans="1:21" x14ac:dyDescent="0.35">
      <c r="A125" t="s">
        <v>80</v>
      </c>
      <c r="B125" s="14">
        <f>(71.79-67.77)*0.05</f>
        <v>0.20100000000000051</v>
      </c>
      <c r="C125" s="14">
        <v>3.43</v>
      </c>
      <c r="D125" s="8">
        <f>B125/C125</f>
        <v>5.8600583090379153E-2</v>
      </c>
      <c r="H125" t="s">
        <v>35</v>
      </c>
      <c r="I125" s="14">
        <f>(76.97-74.77)*0.044</f>
        <v>9.6800000000000122E-2</v>
      </c>
      <c r="J125" s="14">
        <v>4.33</v>
      </c>
      <c r="K125" s="14">
        <f>I125/J125</f>
        <v>2.2355658198614348E-2</v>
      </c>
    </row>
    <row r="126" spans="1:21" x14ac:dyDescent="0.35">
      <c r="A126" t="s">
        <v>94</v>
      </c>
      <c r="B126" s="14">
        <f>(173.33-169.17)*0.012</f>
        <v>4.9920000000000304E-2</v>
      </c>
      <c r="C126" s="14">
        <v>2.0299999999999998</v>
      </c>
      <c r="D126" s="8">
        <f>B126/C126</f>
        <v>2.4591133004926262E-2</v>
      </c>
      <c r="H126" t="s">
        <v>63</v>
      </c>
      <c r="I126" s="14">
        <f>(1238.95-1225)*0.003</f>
        <v>4.1850000000000137E-2</v>
      </c>
      <c r="J126" s="14">
        <v>3.54</v>
      </c>
      <c r="K126" s="14">
        <f>I126/J126</f>
        <v>1.1822033898305124E-2</v>
      </c>
    </row>
    <row r="127" spans="1:21" x14ac:dyDescent="0.35">
      <c r="A127" t="s">
        <v>31</v>
      </c>
      <c r="B127" s="14">
        <f>(70.34-68.71)*0.031</f>
        <v>5.0530000000000297E-2</v>
      </c>
      <c r="C127" s="14">
        <v>2.13</v>
      </c>
      <c r="D127" s="8">
        <f>B127/C127</f>
        <v>2.372300469483582E-2</v>
      </c>
      <c r="I127" s="14"/>
    </row>
    <row r="128" spans="1:21" x14ac:dyDescent="0.35">
      <c r="A128" t="s">
        <v>35</v>
      </c>
      <c r="B128" s="14">
        <f>(74.19-74.29)*0.014</f>
        <v>-1.4000000000001195E-3</v>
      </c>
      <c r="C128" s="14">
        <v>1.04</v>
      </c>
      <c r="D128" s="8">
        <f>B128/C128</f>
        <v>-1.346153846153961E-3</v>
      </c>
      <c r="H128" t="s">
        <v>1</v>
      </c>
      <c r="I128" s="14">
        <f>SUM(I112:I126)</f>
        <v>1.4997199999999975</v>
      </c>
      <c r="J128" s="14">
        <f>SUM(J112:J126)</f>
        <v>99.69</v>
      </c>
      <c r="K128" s="8">
        <f>I128/J128</f>
        <v>1.504383589126289E-2</v>
      </c>
      <c r="U128" s="1"/>
    </row>
    <row r="130" spans="1:16" x14ac:dyDescent="0.35">
      <c r="A130" t="s">
        <v>1</v>
      </c>
      <c r="B130" s="14">
        <f>SUM(B112:B128)</f>
        <v>3.9810199999999987</v>
      </c>
      <c r="C130" s="14">
        <f>SUM(C112:C128)</f>
        <v>101.44</v>
      </c>
      <c r="D130" s="8">
        <f>B130/C130</f>
        <v>3.9245070977917969E-2</v>
      </c>
    </row>
    <row r="133" spans="1:16" x14ac:dyDescent="0.35">
      <c r="A133" s="5" t="s">
        <v>101</v>
      </c>
      <c r="B133" t="s">
        <v>102</v>
      </c>
    </row>
    <row r="135" spans="1:16" x14ac:dyDescent="0.35">
      <c r="A135" s="3"/>
      <c r="B135" s="3"/>
      <c r="C135" s="3"/>
      <c r="D135" s="3"/>
      <c r="E135" s="3"/>
      <c r="F135" s="3"/>
      <c r="G135" s="3" t="s">
        <v>111</v>
      </c>
      <c r="H135" s="3"/>
      <c r="I135" s="3"/>
      <c r="J135" s="3"/>
      <c r="K135" s="3"/>
      <c r="L135" s="3"/>
      <c r="M135" s="3"/>
      <c r="N135" s="3"/>
    </row>
    <row r="136" spans="1:16" x14ac:dyDescent="0.35">
      <c r="A136" s="11"/>
    </row>
    <row r="137" spans="1:16" ht="29" x14ac:dyDescent="0.35">
      <c r="A137" s="1" t="s">
        <v>16</v>
      </c>
      <c r="B137" s="1" t="s">
        <v>12</v>
      </c>
      <c r="C137" s="1" t="s">
        <v>22</v>
      </c>
      <c r="D137" s="1" t="s">
        <v>3</v>
      </c>
      <c r="E137" s="1" t="s">
        <v>4</v>
      </c>
      <c r="F137" s="1" t="s">
        <v>7</v>
      </c>
      <c r="G137" s="1" t="s">
        <v>8</v>
      </c>
      <c r="H137" s="1" t="s">
        <v>5</v>
      </c>
      <c r="I137" s="1" t="s">
        <v>6</v>
      </c>
      <c r="J137" s="1" t="s">
        <v>17</v>
      </c>
      <c r="K137" s="1" t="s">
        <v>18</v>
      </c>
      <c r="L137" s="1" t="s">
        <v>19</v>
      </c>
      <c r="M137" s="1" t="s">
        <v>20</v>
      </c>
      <c r="N137" s="1" t="s">
        <v>21</v>
      </c>
    </row>
    <row r="138" spans="1:16" x14ac:dyDescent="0.35">
      <c r="A138" s="9" t="s">
        <v>15</v>
      </c>
      <c r="B138" t="s">
        <v>23</v>
      </c>
      <c r="C138">
        <v>-5.9056999999999998E-2</v>
      </c>
      <c r="D138">
        <v>0.218893</v>
      </c>
      <c r="E138">
        <v>-3.783045</v>
      </c>
      <c r="F138">
        <v>-6.4709000000000003E-2</v>
      </c>
      <c r="G138">
        <v>-12.330002</v>
      </c>
      <c r="H138">
        <v>1.43421</v>
      </c>
      <c r="I138">
        <v>-3.5100000000000001E-3</v>
      </c>
      <c r="J138">
        <v>-1.4999999999999999E-2</v>
      </c>
      <c r="K138">
        <v>1.1332</v>
      </c>
      <c r="L138">
        <v>-3329702.4</v>
      </c>
      <c r="M138">
        <v>-1256224.8</v>
      </c>
      <c r="N138">
        <v>-3.3999999999999998E-3</v>
      </c>
    </row>
    <row r="139" spans="1:16" x14ac:dyDescent="0.35">
      <c r="B139" t="s">
        <v>24</v>
      </c>
      <c r="C139">
        <v>3.5063999999999998E-2</v>
      </c>
      <c r="D139">
        <v>0.13613</v>
      </c>
      <c r="E139">
        <v>3.6117249999999999</v>
      </c>
      <c r="F139">
        <v>-1.8938E-2</v>
      </c>
      <c r="G139">
        <v>16.089995999999999</v>
      </c>
      <c r="H139">
        <v>0.82825700000000002</v>
      </c>
      <c r="I139">
        <v>1.8220000000000001E-3</v>
      </c>
      <c r="J139">
        <v>1.35E-2</v>
      </c>
      <c r="K139">
        <v>0.77229999999999999</v>
      </c>
      <c r="L139">
        <v>65117.2</v>
      </c>
      <c r="M139">
        <v>-1238645.6000000001</v>
      </c>
      <c r="N139">
        <v>8.0999999999999996E-3</v>
      </c>
    </row>
    <row r="140" spans="1:16" x14ac:dyDescent="0.35">
      <c r="B140" t="s">
        <v>25</v>
      </c>
      <c r="C140">
        <v>4.7280999999999997E-2</v>
      </c>
      <c r="D140">
        <v>0.29181600000000002</v>
      </c>
      <c r="E140">
        <v>2.3565179999999999</v>
      </c>
      <c r="F140">
        <v>-3.1570000000000001E-2</v>
      </c>
      <c r="G140">
        <v>6.4094090000000001</v>
      </c>
      <c r="H140">
        <v>1.764122</v>
      </c>
      <c r="I140">
        <v>2.4529999999999999E-3</v>
      </c>
      <c r="J140">
        <v>1.4500000000000001E-2</v>
      </c>
      <c r="K140">
        <v>1.0714999999999999</v>
      </c>
      <c r="L140">
        <v>6406654.4000000004</v>
      </c>
      <c r="M140">
        <v>-816631.2</v>
      </c>
      <c r="N140">
        <v>7.0000000000000001E-3</v>
      </c>
    </row>
    <row r="141" spans="1:16" x14ac:dyDescent="0.35">
      <c r="B141" t="s">
        <v>26</v>
      </c>
      <c r="C141">
        <v>5.0087E-2</v>
      </c>
      <c r="D141">
        <v>0.25206499999999998</v>
      </c>
      <c r="E141">
        <v>2.836287</v>
      </c>
      <c r="F141">
        <v>-3.8865999999999998E-2</v>
      </c>
      <c r="G141">
        <v>8.3313749999999995</v>
      </c>
      <c r="H141">
        <v>0.47146199999999999</v>
      </c>
      <c r="I141">
        <v>2.7629999999999998E-3</v>
      </c>
      <c r="J141">
        <v>3.8999999999999998E-3</v>
      </c>
      <c r="K141">
        <v>1.1044</v>
      </c>
      <c r="L141">
        <v>-7298343</v>
      </c>
      <c r="M141">
        <v>8019294</v>
      </c>
      <c r="N141">
        <v>8.9999999999999998E-4</v>
      </c>
    </row>
    <row r="142" spans="1:16" x14ac:dyDescent="0.35">
      <c r="B142" t="s">
        <v>13</v>
      </c>
      <c r="C142">
        <v>-4.9050999999999997E-2</v>
      </c>
      <c r="D142">
        <v>0.73614100000000005</v>
      </c>
      <c r="E142">
        <v>-0.59111800000000003</v>
      </c>
      <c r="F142">
        <v>-0.21546499999999999</v>
      </c>
      <c r="G142">
        <v>-16.779999</v>
      </c>
      <c r="H142">
        <v>2.718372</v>
      </c>
      <c r="I142">
        <v>-2.1519999999999998E-3</v>
      </c>
      <c r="J142">
        <v>6.6600000000000006E-2</v>
      </c>
      <c r="K142">
        <v>-6.0400000000000002E-2</v>
      </c>
      <c r="L142">
        <v>-13157209.6</v>
      </c>
      <c r="M142">
        <v>-9160919.1999999993</v>
      </c>
      <c r="N142">
        <v>1.2E-2</v>
      </c>
    </row>
    <row r="143" spans="1:16" x14ac:dyDescent="0.35">
      <c r="B143" t="s">
        <v>27</v>
      </c>
      <c r="C143">
        <v>2.8812999999999998E-2</v>
      </c>
      <c r="D143">
        <v>0.20232</v>
      </c>
      <c r="E143">
        <v>2.0621939999999999</v>
      </c>
      <c r="F143">
        <v>-2.5321E-2</v>
      </c>
      <c r="G143">
        <v>5.9400019999999998</v>
      </c>
      <c r="H143">
        <v>1.144447</v>
      </c>
      <c r="I143">
        <v>1.477E-3</v>
      </c>
      <c r="J143">
        <v>-4.1000000000000003E-3</v>
      </c>
      <c r="K143">
        <v>1.5481</v>
      </c>
      <c r="L143">
        <v>-668569.59999999998</v>
      </c>
      <c r="M143">
        <v>2201980.7999999998</v>
      </c>
      <c r="N143">
        <v>7.7000000000000002E-3</v>
      </c>
      <c r="P143" s="1"/>
    </row>
    <row r="144" spans="1:16" x14ac:dyDescent="0.35">
      <c r="B144" t="s">
        <v>28</v>
      </c>
      <c r="C144">
        <v>-7.4710000000000002E-3</v>
      </c>
      <c r="D144">
        <v>0.31896799999999997</v>
      </c>
      <c r="E144">
        <v>-0.176041</v>
      </c>
      <c r="F144">
        <v>-8.2654000000000005E-2</v>
      </c>
      <c r="G144">
        <v>-2.3600159999999999</v>
      </c>
      <c r="H144">
        <v>1.156765</v>
      </c>
      <c r="I144">
        <v>-4.0400000000000001E-4</v>
      </c>
      <c r="J144">
        <v>1.47E-2</v>
      </c>
      <c r="K144">
        <v>-1.1835</v>
      </c>
      <c r="L144">
        <v>238729.8</v>
      </c>
      <c r="M144">
        <v>-1183320.3999999999</v>
      </c>
      <c r="N144">
        <v>-1.01E-2</v>
      </c>
      <c r="P144" s="7"/>
    </row>
    <row r="145" spans="1:16" x14ac:dyDescent="0.35">
      <c r="B145" t="s">
        <v>29</v>
      </c>
      <c r="C145">
        <v>-4.0908E-2</v>
      </c>
      <c r="D145">
        <v>0.241003</v>
      </c>
      <c r="E145">
        <v>-2.3073199999999998</v>
      </c>
      <c r="F145">
        <v>-5.4807000000000002E-2</v>
      </c>
      <c r="G145">
        <v>-15.049988000000001</v>
      </c>
      <c r="H145">
        <v>1.3332459999999999</v>
      </c>
      <c r="I145">
        <v>-2.415E-3</v>
      </c>
      <c r="J145">
        <v>-3.0499999999999999E-2</v>
      </c>
      <c r="K145">
        <v>0.58909999999999996</v>
      </c>
      <c r="L145">
        <v>1273800.6000000001</v>
      </c>
      <c r="M145">
        <v>-3355578.8</v>
      </c>
      <c r="N145">
        <v>-2.5399999999999999E-2</v>
      </c>
      <c r="P145" s="7"/>
    </row>
    <row r="146" spans="1:16" x14ac:dyDescent="0.35">
      <c r="B146" t="s">
        <v>30</v>
      </c>
      <c r="C146">
        <v>6.6957000000000003E-2</v>
      </c>
      <c r="D146">
        <v>0.21177000000000001</v>
      </c>
      <c r="E146">
        <v>4.3921460000000003</v>
      </c>
      <c r="F146">
        <v>-2.0754000000000002E-2</v>
      </c>
      <c r="G146">
        <v>1.540001</v>
      </c>
      <c r="H146">
        <v>0.83024900000000001</v>
      </c>
      <c r="I146">
        <v>3.5609999999999999E-3</v>
      </c>
      <c r="J146">
        <v>1.7899999999999999E-2</v>
      </c>
      <c r="K146">
        <v>-0.87060000000000004</v>
      </c>
      <c r="L146">
        <v>-292774.2</v>
      </c>
      <c r="M146">
        <v>-4919128.4000000004</v>
      </c>
      <c r="N146">
        <v>-4.5999999999999999E-3</v>
      </c>
      <c r="P146" s="7"/>
    </row>
    <row r="147" spans="1:16" x14ac:dyDescent="0.35">
      <c r="B147" t="s">
        <v>31</v>
      </c>
      <c r="C147">
        <v>-5.6309999999999997E-3</v>
      </c>
      <c r="D147">
        <v>0.109483</v>
      </c>
      <c r="E147">
        <v>-0.67022700000000002</v>
      </c>
      <c r="F147">
        <v>-1.6504999999999999E-2</v>
      </c>
      <c r="G147">
        <v>-0.40219100000000002</v>
      </c>
      <c r="H147">
        <v>0.172795</v>
      </c>
      <c r="I147">
        <v>-3.1799999999999998E-4</v>
      </c>
      <c r="J147">
        <v>-1.04E-2</v>
      </c>
      <c r="K147">
        <v>-0.76290000000000002</v>
      </c>
      <c r="L147">
        <v>511091.20000000001</v>
      </c>
      <c r="M147">
        <v>-2094077.6</v>
      </c>
      <c r="N147">
        <v>-1.14E-2</v>
      </c>
      <c r="P147" s="7"/>
    </row>
    <row r="148" spans="1:16" x14ac:dyDescent="0.35">
      <c r="B148" t="s">
        <v>32</v>
      </c>
      <c r="C148">
        <v>4.6866999999999999E-2</v>
      </c>
      <c r="D148">
        <v>0.190085</v>
      </c>
      <c r="E148">
        <v>3.466901</v>
      </c>
      <c r="F148">
        <v>-2.6096000000000001E-2</v>
      </c>
      <c r="G148">
        <v>5.2799990000000001</v>
      </c>
      <c r="H148">
        <v>1.117254</v>
      </c>
      <c r="I148">
        <v>2.4399999999999999E-3</v>
      </c>
      <c r="J148">
        <v>3.3000000000000002E-2</v>
      </c>
      <c r="K148">
        <v>0.51339999999999997</v>
      </c>
      <c r="L148">
        <v>-1896351</v>
      </c>
      <c r="M148">
        <v>145898</v>
      </c>
      <c r="N148">
        <v>5.3E-3</v>
      </c>
      <c r="P148" s="7"/>
    </row>
    <row r="149" spans="1:16" x14ac:dyDescent="0.35">
      <c r="B149" t="s">
        <v>33</v>
      </c>
      <c r="C149">
        <v>-3.7504999999999997E-2</v>
      </c>
      <c r="D149">
        <v>0.142785</v>
      </c>
      <c r="E149">
        <v>-3.6767270000000001</v>
      </c>
      <c r="F149">
        <v>-5.5411000000000002E-2</v>
      </c>
      <c r="G149">
        <v>-3.68</v>
      </c>
      <c r="H149">
        <v>0.53425599999999995</v>
      </c>
      <c r="I149">
        <v>-2.1670000000000001E-3</v>
      </c>
      <c r="J149">
        <v>-3.2399999999999998E-2</v>
      </c>
      <c r="K149">
        <v>0.89859999999999995</v>
      </c>
      <c r="L149">
        <v>-818479.6</v>
      </c>
      <c r="M149">
        <v>-2836819.2</v>
      </c>
      <c r="N149">
        <v>-1.0999999999999999E-2</v>
      </c>
      <c r="P149" s="7"/>
    </row>
    <row r="150" spans="1:16" x14ac:dyDescent="0.35">
      <c r="B150" t="s">
        <v>34</v>
      </c>
      <c r="C150">
        <v>-5.4813000000000001E-2</v>
      </c>
      <c r="D150">
        <v>8.9400999999999994E-2</v>
      </c>
      <c r="E150">
        <v>-8.7716639999999995</v>
      </c>
      <c r="F150">
        <v>-5.9447E-2</v>
      </c>
      <c r="G150">
        <v>-17.508392000000001</v>
      </c>
      <c r="H150">
        <v>0.174957</v>
      </c>
      <c r="I150">
        <v>-3.1389999999999999E-3</v>
      </c>
      <c r="J150">
        <v>-2.7900000000000001E-2</v>
      </c>
      <c r="K150">
        <v>-1.3695999999999999</v>
      </c>
      <c r="L150">
        <v>-327295.2</v>
      </c>
      <c r="M150">
        <v>848809.6</v>
      </c>
      <c r="N150">
        <v>-1.47E-2</v>
      </c>
      <c r="P150" s="7"/>
    </row>
    <row r="151" spans="1:16" x14ac:dyDescent="0.35">
      <c r="B151" t="s">
        <v>35</v>
      </c>
      <c r="C151">
        <v>-1.8488000000000001E-2</v>
      </c>
      <c r="D151">
        <v>0.36135099999999998</v>
      </c>
      <c r="E151">
        <v>-0.55231200000000003</v>
      </c>
      <c r="F151">
        <v>-5.2294E-2</v>
      </c>
      <c r="G151">
        <v>-1.1401669999999999</v>
      </c>
      <c r="H151">
        <v>2.2444139999999999</v>
      </c>
      <c r="I151">
        <v>-1.1429999999999999E-3</v>
      </c>
      <c r="J151">
        <v>-2.0000000000000001E-4</v>
      </c>
      <c r="K151">
        <v>0.91520000000000001</v>
      </c>
      <c r="L151">
        <v>-218948</v>
      </c>
      <c r="M151">
        <v>-1080216</v>
      </c>
      <c r="N151">
        <v>-8.6999999999999994E-3</v>
      </c>
      <c r="P151" s="7"/>
    </row>
    <row r="152" spans="1:16" x14ac:dyDescent="0.35">
      <c r="B152" t="s">
        <v>36</v>
      </c>
      <c r="C152">
        <v>-0.10162400000000001</v>
      </c>
      <c r="D152">
        <v>0.27817900000000001</v>
      </c>
      <c r="E152">
        <v>-5.24505</v>
      </c>
      <c r="F152">
        <v>-0.102965</v>
      </c>
      <c r="G152">
        <v>-29.230011000000001</v>
      </c>
      <c r="H152">
        <v>1.12107</v>
      </c>
      <c r="I152">
        <v>-5.9649999999999998E-3</v>
      </c>
      <c r="J152">
        <v>-3.0700000000000002E-2</v>
      </c>
      <c r="K152">
        <v>1.5295000000000001</v>
      </c>
      <c r="L152">
        <v>280557.59999999998</v>
      </c>
      <c r="M152">
        <v>-539044.80000000005</v>
      </c>
      <c r="N152">
        <v>-3.0000000000000001E-3</v>
      </c>
      <c r="P152" s="7"/>
    </row>
    <row r="153" spans="1:16" x14ac:dyDescent="0.35">
      <c r="B153" t="s">
        <v>37</v>
      </c>
      <c r="C153">
        <v>1.2376E-2</v>
      </c>
      <c r="D153">
        <v>0.357906</v>
      </c>
      <c r="E153">
        <v>0.64830600000000005</v>
      </c>
      <c r="F153">
        <v>-5.7449E-2</v>
      </c>
      <c r="G153">
        <v>1.4200060000000001</v>
      </c>
      <c r="H153">
        <v>1.6563129999999999</v>
      </c>
      <c r="I153">
        <v>6.6200000000000005E-4</v>
      </c>
      <c r="J153">
        <v>3.8300000000000001E-2</v>
      </c>
      <c r="K153">
        <v>1.9089</v>
      </c>
      <c r="L153">
        <v>12459596.800000001</v>
      </c>
      <c r="M153">
        <v>23661313.600000001</v>
      </c>
      <c r="N153">
        <v>4.3799999999999999E-2</v>
      </c>
      <c r="P153" s="7"/>
    </row>
    <row r="154" spans="1:16" x14ac:dyDescent="0.35">
      <c r="B154" t="s">
        <v>38</v>
      </c>
      <c r="C154">
        <v>-3.6158999999999997E-2</v>
      </c>
      <c r="D154">
        <v>0.153167</v>
      </c>
      <c r="E154">
        <v>-3.290673</v>
      </c>
      <c r="F154">
        <v>-4.0332E-2</v>
      </c>
      <c r="G154">
        <v>-37.090026999999999</v>
      </c>
      <c r="H154">
        <v>0.80559099999999995</v>
      </c>
      <c r="I154">
        <v>-2.1259999999999999E-3</v>
      </c>
      <c r="J154">
        <v>-2.12E-2</v>
      </c>
      <c r="K154">
        <v>1.5988</v>
      </c>
      <c r="L154">
        <v>67005</v>
      </c>
      <c r="M154">
        <v>27130</v>
      </c>
      <c r="N154">
        <v>2.0999999999999999E-3</v>
      </c>
      <c r="P154" s="7"/>
    </row>
    <row r="155" spans="1:16" x14ac:dyDescent="0.35">
      <c r="B155" t="s">
        <v>39</v>
      </c>
      <c r="C155">
        <v>4.3339000000000003E-2</v>
      </c>
      <c r="D155">
        <v>0.24555399999999999</v>
      </c>
      <c r="E155">
        <v>2.5372430000000001</v>
      </c>
      <c r="F155">
        <v>-3.2743000000000001E-2</v>
      </c>
      <c r="G155">
        <v>4.5684659999999999</v>
      </c>
      <c r="H155">
        <v>0.62554299999999996</v>
      </c>
      <c r="I155">
        <v>2.3749999999999999E-3</v>
      </c>
      <c r="J155">
        <v>-1.2200000000000001E-2</v>
      </c>
      <c r="K155">
        <v>0.57699999999999996</v>
      </c>
      <c r="L155">
        <v>-652544.6</v>
      </c>
      <c r="M155">
        <v>-994669.2</v>
      </c>
      <c r="N155">
        <v>7.7000000000000002E-3</v>
      </c>
      <c r="P155" s="7"/>
    </row>
    <row r="156" spans="1:16" x14ac:dyDescent="0.35">
      <c r="B156" t="s">
        <v>40</v>
      </c>
      <c r="C156">
        <v>2.379E-3</v>
      </c>
      <c r="D156">
        <v>0.225106</v>
      </c>
      <c r="E156">
        <v>0.25488100000000002</v>
      </c>
      <c r="F156">
        <v>-3.5055999999999997E-2</v>
      </c>
      <c r="G156">
        <v>0.38999899999999998</v>
      </c>
      <c r="H156">
        <v>1.1268659999999999</v>
      </c>
      <c r="I156">
        <v>5.1999999999999997E-5</v>
      </c>
      <c r="J156">
        <v>-1.4E-3</v>
      </c>
      <c r="K156">
        <v>3.0200000000000001E-2</v>
      </c>
      <c r="L156">
        <v>-99246.2</v>
      </c>
      <c r="M156">
        <v>-310112.40000000002</v>
      </c>
      <c r="N156">
        <v>-1.09E-2</v>
      </c>
      <c r="P156" s="7"/>
    </row>
    <row r="157" spans="1:16" x14ac:dyDescent="0.35">
      <c r="B157" t="s">
        <v>41</v>
      </c>
      <c r="C157">
        <v>-6.8935999999999997E-2</v>
      </c>
      <c r="D157">
        <v>0.259994</v>
      </c>
      <c r="E157">
        <v>-3.713212</v>
      </c>
      <c r="F157">
        <v>-6.8935999999999997E-2</v>
      </c>
      <c r="G157">
        <v>-29</v>
      </c>
      <c r="H157">
        <v>1.0827290000000001</v>
      </c>
      <c r="I157">
        <v>-4.0000000000000001E-3</v>
      </c>
      <c r="J157">
        <v>-3.49E-2</v>
      </c>
      <c r="K157">
        <v>1.2566999999999999</v>
      </c>
      <c r="L157">
        <v>1556135.8</v>
      </c>
      <c r="M157">
        <v>-2268388.4</v>
      </c>
      <c r="N157">
        <v>-1.34E-2</v>
      </c>
      <c r="P157" s="7"/>
    </row>
    <row r="158" spans="1:16" x14ac:dyDescent="0.35">
      <c r="A158" t="s">
        <v>43</v>
      </c>
      <c r="P158" s="7"/>
    </row>
    <row r="159" spans="1:16" ht="29" x14ac:dyDescent="0.35">
      <c r="A159" s="1" t="s">
        <v>16</v>
      </c>
      <c r="B159" s="1" t="s">
        <v>12</v>
      </c>
      <c r="C159" s="1" t="s">
        <v>22</v>
      </c>
      <c r="D159" s="1" t="s">
        <v>3</v>
      </c>
      <c r="E159" s="1" t="s">
        <v>4</v>
      </c>
      <c r="F159" s="1" t="s">
        <v>7</v>
      </c>
      <c r="G159" s="1" t="s">
        <v>8</v>
      </c>
      <c r="H159" s="1" t="s">
        <v>5</v>
      </c>
      <c r="I159" s="1" t="s">
        <v>6</v>
      </c>
      <c r="J159" s="1" t="s">
        <v>17</v>
      </c>
      <c r="K159" s="1" t="s">
        <v>18</v>
      </c>
      <c r="L159" s="1" t="s">
        <v>19</v>
      </c>
      <c r="M159" s="1" t="s">
        <v>20</v>
      </c>
      <c r="N159" s="1" t="s">
        <v>21</v>
      </c>
      <c r="O159" s="1" t="s">
        <v>57</v>
      </c>
      <c r="P159" s="7"/>
    </row>
    <row r="160" spans="1:16" x14ac:dyDescent="0.35">
      <c r="A160" s="9" t="s">
        <v>14</v>
      </c>
      <c r="B160" t="s">
        <v>23</v>
      </c>
      <c r="C160">
        <v>-2.7265000000000001E-2</v>
      </c>
      <c r="D160">
        <v>0.20814299999999999</v>
      </c>
      <c r="E160">
        <v>-1.661292</v>
      </c>
      <c r="F160">
        <v>-4.0604000000000001E-2</v>
      </c>
      <c r="G160">
        <v>-5.509995</v>
      </c>
      <c r="H160">
        <v>1.4686520000000001</v>
      </c>
      <c r="I160">
        <v>-3.1930000000000001E-3</v>
      </c>
      <c r="J160">
        <v>8.9999999999999993E-3</v>
      </c>
      <c r="K160">
        <v>1.4570000000000001</v>
      </c>
      <c r="L160">
        <v>9011249.5999999996</v>
      </c>
      <c r="M160">
        <v>22486959.199999999</v>
      </c>
      <c r="N160">
        <v>1.7100000000000001E-2</v>
      </c>
      <c r="O160" s="6">
        <v>1.7399999999999999E-2</v>
      </c>
      <c r="P160" s="7"/>
    </row>
    <row r="161" spans="2:16" x14ac:dyDescent="0.35">
      <c r="B161" t="s">
        <v>24</v>
      </c>
      <c r="C161">
        <v>6.114E-2</v>
      </c>
      <c r="D161">
        <v>0.12305099999999999</v>
      </c>
      <c r="E161">
        <v>6.4643680000000003</v>
      </c>
      <c r="F161">
        <v>-1.0289E-2</v>
      </c>
      <c r="G161">
        <v>27.669982999999998</v>
      </c>
      <c r="H161">
        <v>0.777891</v>
      </c>
      <c r="I161">
        <v>2.1919999999999999E-3</v>
      </c>
      <c r="J161">
        <v>-3.0999999999999999E-3</v>
      </c>
      <c r="K161">
        <v>-0.83320000000000005</v>
      </c>
      <c r="L161">
        <v>4124791</v>
      </c>
      <c r="M161">
        <v>7864782</v>
      </c>
      <c r="N161">
        <v>-1.1999999999999999E-3</v>
      </c>
      <c r="O161" s="6">
        <v>-5.4999999999999997E-3</v>
      </c>
      <c r="P161" s="8"/>
    </row>
    <row r="162" spans="2:16" x14ac:dyDescent="0.35">
      <c r="B162" t="s">
        <v>25</v>
      </c>
      <c r="C162">
        <v>0.10387</v>
      </c>
      <c r="D162">
        <v>0.27392899999999998</v>
      </c>
      <c r="E162">
        <v>4.9266759999999996</v>
      </c>
      <c r="F162">
        <v>-2.9169E-2</v>
      </c>
      <c r="G162">
        <v>13.689147999999999</v>
      </c>
      <c r="H162">
        <v>1.769431</v>
      </c>
      <c r="I162">
        <v>3.1610000000000002E-3</v>
      </c>
      <c r="J162">
        <v>-7.9000000000000008E-3</v>
      </c>
      <c r="K162">
        <v>-0.67930000000000001</v>
      </c>
      <c r="L162">
        <v>9778372.5999999996</v>
      </c>
      <c r="M162">
        <v>39957785.200000003</v>
      </c>
      <c r="N162">
        <v>-1.1999999999999999E-3</v>
      </c>
      <c r="O162" s="6">
        <v>-1.26E-2</v>
      </c>
      <c r="P162" s="7"/>
    </row>
    <row r="163" spans="2:16" x14ac:dyDescent="0.35">
      <c r="B163" t="s">
        <v>26</v>
      </c>
      <c r="C163">
        <v>2.9484E-2</v>
      </c>
      <c r="D163">
        <v>0.229244</v>
      </c>
      <c r="E163">
        <v>1.790308</v>
      </c>
      <c r="F163">
        <v>-3.8865999999999998E-2</v>
      </c>
      <c r="G163">
        <v>4.9638210000000003</v>
      </c>
      <c r="H163">
        <v>1.054665</v>
      </c>
      <c r="I163">
        <v>3.21E-4</v>
      </c>
      <c r="J163">
        <v>-5.16E-2</v>
      </c>
      <c r="K163">
        <v>-1.7010000000000001</v>
      </c>
      <c r="L163">
        <v>9523886</v>
      </c>
      <c r="M163">
        <v>18904372</v>
      </c>
      <c r="N163">
        <v>-3.9399999999999998E-2</v>
      </c>
      <c r="O163" s="6">
        <v>-5.0799999999999998E-2</v>
      </c>
      <c r="P163" s="7"/>
    </row>
    <row r="164" spans="2:16" x14ac:dyDescent="0.35">
      <c r="B164" t="s">
        <v>13</v>
      </c>
      <c r="C164">
        <v>-3.7565000000000001E-2</v>
      </c>
      <c r="D164">
        <v>0.72766699999999995</v>
      </c>
      <c r="E164">
        <v>-0.33628400000000003</v>
      </c>
      <c r="F164">
        <v>-0.21546499999999999</v>
      </c>
      <c r="G164">
        <v>-12.570007</v>
      </c>
      <c r="H164">
        <v>3.1485370000000001</v>
      </c>
      <c r="I164">
        <v>-4.875E-3</v>
      </c>
      <c r="J164">
        <v>9.5999999999999992E-3</v>
      </c>
      <c r="K164">
        <v>-8.3400000000000002E-2</v>
      </c>
      <c r="L164">
        <v>-3144573.8</v>
      </c>
      <c r="M164">
        <v>13135452.4</v>
      </c>
      <c r="N164">
        <v>-2.5999999999999999E-3</v>
      </c>
      <c r="O164" s="8">
        <f>(((4.83 / 0.015) - 303.33) / 303.33)</f>
        <v>6.1550126924471753E-2</v>
      </c>
      <c r="P164" s="7"/>
    </row>
    <row r="165" spans="2:16" x14ac:dyDescent="0.35">
      <c r="B165" t="s">
        <v>27</v>
      </c>
      <c r="C165">
        <v>5.6682999999999997E-2</v>
      </c>
      <c r="D165">
        <v>0.19924500000000001</v>
      </c>
      <c r="E165">
        <v>3.769333</v>
      </c>
      <c r="F165">
        <v>-2.5321E-2</v>
      </c>
      <c r="G165">
        <v>11.400009000000001</v>
      </c>
      <c r="H165">
        <v>1.2031639999999999</v>
      </c>
      <c r="I165">
        <v>1.488E-3</v>
      </c>
      <c r="J165">
        <v>-1.66E-2</v>
      </c>
      <c r="K165">
        <v>-0.87480000000000002</v>
      </c>
      <c r="L165">
        <v>10252674.199999999</v>
      </c>
      <c r="M165">
        <v>11731308.4</v>
      </c>
      <c r="N165">
        <v>-1.5800000000000002E-2</v>
      </c>
      <c r="O165" s="6">
        <v>-2.8199999999999999E-2</v>
      </c>
    </row>
    <row r="166" spans="2:16" x14ac:dyDescent="0.35">
      <c r="B166" t="s">
        <v>28</v>
      </c>
      <c r="C166">
        <v>2.1125999999999999E-2</v>
      </c>
      <c r="D166">
        <v>0.216582</v>
      </c>
      <c r="E166">
        <v>1.3831199999999999</v>
      </c>
      <c r="F166">
        <v>-2.9142000000000001E-2</v>
      </c>
      <c r="G166">
        <v>6.3556520000000001</v>
      </c>
      <c r="H166">
        <v>0.29600399999999999</v>
      </c>
      <c r="I166">
        <v>8.2200000000000003E-4</v>
      </c>
      <c r="J166">
        <v>-4.4999999999999998E-2</v>
      </c>
      <c r="K166">
        <v>-1.0112000000000001</v>
      </c>
      <c r="L166">
        <v>-821094.8</v>
      </c>
      <c r="M166">
        <v>-178869.6</v>
      </c>
      <c r="N166">
        <v>-1.7600000000000001E-2</v>
      </c>
      <c r="O166" s="6">
        <v>-1.8499999999999999E-2</v>
      </c>
    </row>
    <row r="167" spans="2:16" x14ac:dyDescent="0.35">
      <c r="B167" t="s">
        <v>29</v>
      </c>
      <c r="C167">
        <v>-5.0014000000000003E-2</v>
      </c>
      <c r="D167">
        <v>0.28528599999999998</v>
      </c>
      <c r="E167">
        <v>-2.2435719999999999</v>
      </c>
      <c r="F167">
        <v>-8.8210999999999998E-2</v>
      </c>
      <c r="G167">
        <v>-17.919982999999998</v>
      </c>
      <c r="H167">
        <v>1.224987</v>
      </c>
      <c r="I167">
        <v>-4.0590000000000001E-3</v>
      </c>
      <c r="J167">
        <v>-8.8400000000000006E-2</v>
      </c>
      <c r="K167">
        <v>0.48720000000000002</v>
      </c>
      <c r="L167">
        <v>1806363.8</v>
      </c>
      <c r="M167">
        <v>3451607.6</v>
      </c>
      <c r="N167">
        <v>-0.03</v>
      </c>
      <c r="O167" s="6">
        <v>-0.05</v>
      </c>
    </row>
    <row r="168" spans="2:16" x14ac:dyDescent="0.35">
      <c r="B168" t="s">
        <v>30</v>
      </c>
      <c r="C168">
        <v>3.6457999999999997E-2</v>
      </c>
      <c r="D168">
        <v>0.190665</v>
      </c>
      <c r="E168">
        <v>2.5834579999999998</v>
      </c>
      <c r="F168">
        <v>-3.8647000000000001E-2</v>
      </c>
      <c r="G168">
        <v>0.83999800000000002</v>
      </c>
      <c r="H168">
        <v>0.75951400000000002</v>
      </c>
      <c r="I168">
        <v>1.013E-3</v>
      </c>
      <c r="J168">
        <v>-3.5000000000000003E-2</v>
      </c>
      <c r="K168">
        <v>1.5806</v>
      </c>
      <c r="L168">
        <v>-2261056.6</v>
      </c>
      <c r="M168">
        <v>-8133.2</v>
      </c>
      <c r="N168">
        <v>-7.7999999999999996E-3</v>
      </c>
      <c r="O168" s="6">
        <v>-1.5699999999999999E-2</v>
      </c>
    </row>
    <row r="169" spans="2:16" x14ac:dyDescent="0.35">
      <c r="B169" t="s">
        <v>31</v>
      </c>
      <c r="C169">
        <v>-2.9894E-2</v>
      </c>
      <c r="D169">
        <v>0.11798500000000001</v>
      </c>
      <c r="E169">
        <v>-3.3531080000000002</v>
      </c>
      <c r="F169">
        <v>-3.6599E-2</v>
      </c>
      <c r="G169">
        <v>-2.1327509999999998</v>
      </c>
      <c r="H169">
        <v>0.29899799999999999</v>
      </c>
      <c r="I169">
        <v>-1.941E-3</v>
      </c>
      <c r="J169">
        <v>-4.0300000000000002E-2</v>
      </c>
      <c r="K169">
        <v>1.0235000000000001</v>
      </c>
      <c r="L169">
        <v>-164930</v>
      </c>
      <c r="M169">
        <v>335680</v>
      </c>
      <c r="N169">
        <v>-1.43E-2</v>
      </c>
      <c r="O169" s="6">
        <v>-2.2800000000000001E-2</v>
      </c>
    </row>
    <row r="170" spans="2:16" x14ac:dyDescent="0.35">
      <c r="B170" t="s">
        <v>32</v>
      </c>
      <c r="C170">
        <v>6.6992999999999997E-2</v>
      </c>
      <c r="D170">
        <v>0.18103</v>
      </c>
      <c r="E170">
        <v>4.844087</v>
      </c>
      <c r="F170">
        <v>-1.3889E-2</v>
      </c>
      <c r="G170">
        <v>7.4000019999999997</v>
      </c>
      <c r="H170">
        <v>1.1402969999999999</v>
      </c>
      <c r="I170">
        <v>2.0660000000000001E-3</v>
      </c>
      <c r="J170">
        <v>-8.3000000000000001E-3</v>
      </c>
      <c r="K170">
        <v>-4.0399999999999998E-2</v>
      </c>
      <c r="L170">
        <v>-1175692</v>
      </c>
      <c r="M170">
        <v>733016</v>
      </c>
      <c r="N170">
        <v>-4.8999999999999998E-3</v>
      </c>
      <c r="O170" s="6">
        <v>-1.5699999999999999E-2</v>
      </c>
    </row>
    <row r="171" spans="2:16" x14ac:dyDescent="0.35">
      <c r="B171" t="s">
        <v>33</v>
      </c>
      <c r="C171">
        <v>-1.3896E-2</v>
      </c>
      <c r="D171">
        <v>0.13591</v>
      </c>
      <c r="E171">
        <v>-1.300783</v>
      </c>
      <c r="F171">
        <v>-5.7311000000000001E-2</v>
      </c>
      <c r="G171">
        <v>-1.340004</v>
      </c>
      <c r="H171">
        <v>0.370892</v>
      </c>
      <c r="I171">
        <v>-1.1609999999999999E-3</v>
      </c>
      <c r="J171">
        <v>1.3599999999999999E-2</v>
      </c>
      <c r="K171">
        <v>1.3541000000000001</v>
      </c>
      <c r="L171">
        <v>-1583891.4</v>
      </c>
      <c r="M171">
        <v>1238037.2</v>
      </c>
      <c r="N171">
        <v>1.35E-2</v>
      </c>
      <c r="O171" s="6">
        <v>1.3899999999999999E-2</v>
      </c>
    </row>
    <row r="172" spans="2:16" x14ac:dyDescent="0.35">
      <c r="B172" t="s">
        <v>34</v>
      </c>
      <c r="C172">
        <v>-7.9533000000000006E-2</v>
      </c>
      <c r="D172">
        <v>0.108318</v>
      </c>
      <c r="E172">
        <v>-10.073919999999999</v>
      </c>
      <c r="F172">
        <v>-7.9533000000000006E-2</v>
      </c>
      <c r="G172">
        <v>-25.025390999999999</v>
      </c>
      <c r="H172">
        <v>4.7733999999999999E-2</v>
      </c>
      <c r="I172">
        <v>-4.3889999999999997E-3</v>
      </c>
      <c r="J172">
        <v>-5.1799999999999999E-2</v>
      </c>
      <c r="K172">
        <v>0.61260000000000003</v>
      </c>
      <c r="L172">
        <v>370573.6</v>
      </c>
      <c r="M172">
        <v>-69432.800000000003</v>
      </c>
      <c r="N172">
        <v>-2.06E-2</v>
      </c>
      <c r="O172" s="6">
        <v>-3.3799999999999997E-2</v>
      </c>
    </row>
    <row r="173" spans="2:16" x14ac:dyDescent="0.35">
      <c r="B173" t="s">
        <v>35</v>
      </c>
      <c r="C173">
        <v>-1.242E-3</v>
      </c>
      <c r="D173">
        <v>0.34658299999999997</v>
      </c>
      <c r="E173">
        <v>0.115761</v>
      </c>
      <c r="F173">
        <v>-6.8264000000000005E-2</v>
      </c>
      <c r="G173">
        <v>-7.4027999999999997E-2</v>
      </c>
      <c r="H173">
        <v>2.4017010000000001</v>
      </c>
      <c r="I173">
        <v>-2.8189999999999999E-3</v>
      </c>
      <c r="J173">
        <v>-4.7899999999999998E-2</v>
      </c>
      <c r="K173">
        <v>0.65049999999999997</v>
      </c>
      <c r="L173">
        <v>-1018476.2</v>
      </c>
      <c r="M173">
        <v>-641332.4</v>
      </c>
      <c r="N173">
        <v>-9.1999999999999998E-3</v>
      </c>
      <c r="O173" s="6">
        <v>-3.32E-2</v>
      </c>
    </row>
    <row r="174" spans="2:16" x14ac:dyDescent="0.35">
      <c r="B174" t="s">
        <v>36</v>
      </c>
      <c r="C174">
        <v>-7.9242000000000007E-2</v>
      </c>
      <c r="D174">
        <v>0.28177799999999997</v>
      </c>
      <c r="E174">
        <v>-3.7432599999999998</v>
      </c>
      <c r="F174">
        <v>-8.8278999999999996E-2</v>
      </c>
      <c r="G174">
        <v>-22.333099000000001</v>
      </c>
      <c r="H174">
        <v>1.2864869999999999</v>
      </c>
      <c r="I174">
        <v>-5.7809999999999997E-3</v>
      </c>
      <c r="J174">
        <v>-2.1999999999999999E-2</v>
      </c>
      <c r="K174">
        <v>0.49380000000000002</v>
      </c>
      <c r="L174">
        <v>941895.2</v>
      </c>
      <c r="M174">
        <v>1515950.4</v>
      </c>
      <c r="N174">
        <v>-5.9999999999999995E-4</v>
      </c>
      <c r="O174" s="6">
        <v>-1.03E-2</v>
      </c>
    </row>
    <row r="175" spans="2:16" x14ac:dyDescent="0.35">
      <c r="B175" t="s">
        <v>37</v>
      </c>
      <c r="C175">
        <v>0.13144700000000001</v>
      </c>
      <c r="D175">
        <v>0.462281</v>
      </c>
      <c r="E175">
        <v>3.7675010000000002</v>
      </c>
      <c r="F175">
        <v>-5.7449E-2</v>
      </c>
      <c r="G175">
        <v>14.730003</v>
      </c>
      <c r="H175">
        <v>2.268653</v>
      </c>
      <c r="I175">
        <v>4.0980000000000001E-3</v>
      </c>
      <c r="J175">
        <v>8.2199999999999995E-2</v>
      </c>
      <c r="K175">
        <v>-0.13830000000000001</v>
      </c>
      <c r="L175">
        <v>2814960.4</v>
      </c>
      <c r="M175">
        <v>2544200.7999999998</v>
      </c>
      <c r="N175">
        <v>2.64E-2</v>
      </c>
      <c r="O175" s="6">
        <v>3.5999999999999999E-3</v>
      </c>
    </row>
    <row r="176" spans="2:16" x14ac:dyDescent="0.35">
      <c r="B176" t="s">
        <v>38</v>
      </c>
      <c r="C176">
        <v>-3.2204999999999998E-2</v>
      </c>
      <c r="D176">
        <v>0.18074299999999999</v>
      </c>
      <c r="E176">
        <v>-2.3144049999999998</v>
      </c>
      <c r="F176">
        <v>-4.6718999999999997E-2</v>
      </c>
      <c r="G176">
        <v>-32.679993000000003</v>
      </c>
      <c r="H176">
        <v>0.99466699999999997</v>
      </c>
      <c r="I176">
        <v>-2.8930000000000002E-3</v>
      </c>
      <c r="J176">
        <v>-3.5700000000000003E-2</v>
      </c>
      <c r="K176">
        <v>-0.26290000000000002</v>
      </c>
      <c r="L176">
        <v>132275.6</v>
      </c>
      <c r="M176">
        <v>420391.2</v>
      </c>
      <c r="N176">
        <v>-1.9199999999999998E-2</v>
      </c>
      <c r="O176" s="6">
        <v>-3.8300000000000001E-2</v>
      </c>
    </row>
    <row r="177" spans="1:16" x14ac:dyDescent="0.35">
      <c r="B177" t="s">
        <v>39</v>
      </c>
      <c r="C177">
        <v>9.7179999999999992E-3</v>
      </c>
      <c r="D177">
        <v>0.235094</v>
      </c>
      <c r="E177">
        <v>0.657107</v>
      </c>
      <c r="F177">
        <v>-3.7462000000000002E-2</v>
      </c>
      <c r="G177">
        <v>1.0394669999999999</v>
      </c>
      <c r="H177">
        <v>0.89637800000000001</v>
      </c>
      <c r="I177">
        <v>-4.9899999999999999E-4</v>
      </c>
      <c r="J177">
        <v>-2.4799999999999999E-2</v>
      </c>
      <c r="K177">
        <v>0.7843</v>
      </c>
      <c r="L177">
        <v>3642615.2</v>
      </c>
      <c r="M177">
        <v>3894450.4</v>
      </c>
      <c r="N177">
        <v>-5.1999999999999998E-3</v>
      </c>
      <c r="O177" s="6">
        <v>-1.37E-2</v>
      </c>
    </row>
    <row r="178" spans="1:16" x14ac:dyDescent="0.35">
      <c r="B178" t="s">
        <v>40</v>
      </c>
      <c r="C178">
        <v>-3.9518999999999999E-2</v>
      </c>
      <c r="D178">
        <v>0.26727499999999998</v>
      </c>
      <c r="E178">
        <v>-1.8706160000000001</v>
      </c>
      <c r="F178">
        <v>-8.9488999999999999E-2</v>
      </c>
      <c r="G178">
        <v>-6.3800049999999997</v>
      </c>
      <c r="H178">
        <v>1.2666999999999999</v>
      </c>
      <c r="I178">
        <v>-3.555E-3</v>
      </c>
      <c r="J178">
        <v>-6.9000000000000006E-2</v>
      </c>
      <c r="K178">
        <v>1.4340999999999999</v>
      </c>
      <c r="L178">
        <v>283471.2</v>
      </c>
      <c r="M178">
        <v>-391677.6</v>
      </c>
      <c r="N178">
        <v>-2.0899999999999998E-2</v>
      </c>
      <c r="O178" s="6">
        <v>-4.1700000000000001E-2</v>
      </c>
    </row>
    <row r="179" spans="1:16" x14ac:dyDescent="0.35">
      <c r="B179" t="s">
        <v>41</v>
      </c>
      <c r="C179">
        <v>-8.6926000000000003E-2</v>
      </c>
      <c r="D179">
        <v>0.320855</v>
      </c>
      <c r="E179">
        <v>-3.5952289999999998</v>
      </c>
      <c r="F179">
        <v>-9.3255000000000005E-2</v>
      </c>
      <c r="G179">
        <v>-35.989989999999999</v>
      </c>
      <c r="H179">
        <v>1.8089329999999999</v>
      </c>
      <c r="I179">
        <v>-6.8209999999999998E-3</v>
      </c>
      <c r="J179">
        <v>-8.8900000000000007E-2</v>
      </c>
      <c r="K179">
        <v>0.51480000000000004</v>
      </c>
      <c r="L179">
        <v>-713148.2</v>
      </c>
      <c r="M179">
        <v>2052583.6</v>
      </c>
      <c r="N179">
        <v>-2.41E-2</v>
      </c>
      <c r="O179" s="6">
        <v>-5.1799999999999999E-2</v>
      </c>
    </row>
    <row r="183" spans="1:16" x14ac:dyDescent="0.35">
      <c r="A183" s="3"/>
      <c r="B183" s="3"/>
      <c r="C183" s="3"/>
      <c r="D183" s="3"/>
      <c r="E183" s="3"/>
      <c r="F183" s="3"/>
      <c r="G183" s="3" t="s">
        <v>112</v>
      </c>
      <c r="H183" s="3"/>
      <c r="I183" s="3"/>
      <c r="J183" s="3"/>
      <c r="K183" s="3"/>
      <c r="L183" s="3"/>
      <c r="M183" s="3"/>
      <c r="N183" s="3"/>
    </row>
    <row r="184" spans="1:16" x14ac:dyDescent="0.35">
      <c r="A184" s="11" t="s">
        <v>58</v>
      </c>
    </row>
    <row r="185" spans="1:16" ht="29" x14ac:dyDescent="0.35">
      <c r="A185" s="1" t="s">
        <v>16</v>
      </c>
      <c r="B185" s="1" t="s">
        <v>12</v>
      </c>
      <c r="C185" s="1" t="s">
        <v>22</v>
      </c>
      <c r="D185" s="1" t="s">
        <v>3</v>
      </c>
      <c r="E185" s="1" t="s">
        <v>4</v>
      </c>
      <c r="F185" s="1" t="s">
        <v>7</v>
      </c>
      <c r="G185" s="1" t="s">
        <v>8</v>
      </c>
      <c r="H185" s="1" t="s">
        <v>5</v>
      </c>
      <c r="I185" s="1" t="s">
        <v>6</v>
      </c>
      <c r="J185" s="1" t="s">
        <v>17</v>
      </c>
      <c r="K185" s="1" t="s">
        <v>18</v>
      </c>
      <c r="L185" s="1" t="s">
        <v>19</v>
      </c>
      <c r="M185" s="1" t="s">
        <v>20</v>
      </c>
      <c r="N185" s="1" t="s">
        <v>21</v>
      </c>
    </row>
    <row r="186" spans="1:16" x14ac:dyDescent="0.35">
      <c r="A186" s="9" t="s">
        <v>15</v>
      </c>
      <c r="B186" t="s">
        <v>23</v>
      </c>
      <c r="C186">
        <v>3.9459999999999999E-3</v>
      </c>
      <c r="D186">
        <v>0.18041499999999999</v>
      </c>
      <c r="E186">
        <v>0.40847600000000001</v>
      </c>
      <c r="F186">
        <v>-4.0604000000000001E-2</v>
      </c>
      <c r="G186">
        <v>0.78999299999999995</v>
      </c>
      <c r="H186">
        <v>1.172795</v>
      </c>
      <c r="I186">
        <v>-2.6499999999999999E-4</v>
      </c>
      <c r="J186">
        <v>2.5600000000000001E-2</v>
      </c>
      <c r="K186">
        <v>-0.23139999999999999</v>
      </c>
      <c r="L186">
        <v>2908769</v>
      </c>
      <c r="M186">
        <v>-27226562</v>
      </c>
      <c r="N186">
        <v>1.44E-2</v>
      </c>
    </row>
    <row r="187" spans="1:16" x14ac:dyDescent="0.35">
      <c r="B187" t="s">
        <v>24</v>
      </c>
      <c r="C187">
        <v>3.6271999999999999E-2</v>
      </c>
      <c r="D187">
        <v>9.3352000000000004E-2</v>
      </c>
      <c r="E187">
        <v>5.7074389999999999</v>
      </c>
      <c r="F187">
        <v>-8.1650000000000004E-3</v>
      </c>
      <c r="G187">
        <v>16.709990999999999</v>
      </c>
      <c r="H187">
        <v>0.538045</v>
      </c>
      <c r="I187">
        <v>1.859E-3</v>
      </c>
      <c r="J187">
        <v>2.4899999999999999E-2</v>
      </c>
      <c r="K187">
        <v>1.6394</v>
      </c>
      <c r="L187">
        <v>1723088.8</v>
      </c>
      <c r="M187">
        <v>-10081862.4</v>
      </c>
      <c r="N187">
        <v>1.35E-2</v>
      </c>
    </row>
    <row r="188" spans="1:16" x14ac:dyDescent="0.35">
      <c r="B188" t="s">
        <v>25</v>
      </c>
      <c r="C188">
        <v>6.1697000000000002E-2</v>
      </c>
      <c r="D188">
        <v>0.26853500000000002</v>
      </c>
      <c r="E188">
        <v>3.4368850000000002</v>
      </c>
      <c r="F188">
        <v>-2.9169E-2</v>
      </c>
      <c r="G188">
        <v>8.3594209999999993</v>
      </c>
      <c r="H188">
        <v>2.0461849999999999</v>
      </c>
      <c r="I188">
        <v>2.6900000000000001E-3</v>
      </c>
      <c r="J188">
        <v>1.7299999999999999E-2</v>
      </c>
      <c r="K188">
        <v>5.0999999999999997E-2</v>
      </c>
      <c r="L188">
        <v>-5683697.2000000002</v>
      </c>
      <c r="M188">
        <v>-51406434.399999999</v>
      </c>
      <c r="N188">
        <v>-5.9999999999999995E-4</v>
      </c>
    </row>
    <row r="189" spans="1:16" x14ac:dyDescent="0.35">
      <c r="B189" t="s">
        <v>27</v>
      </c>
      <c r="C189">
        <v>1.7814E-2</v>
      </c>
      <c r="D189">
        <v>0.191553</v>
      </c>
      <c r="E189">
        <v>1.4568749999999999</v>
      </c>
      <c r="F189">
        <v>-3.6394999999999997E-2</v>
      </c>
      <c r="G189">
        <v>3.6699980000000001</v>
      </c>
      <c r="H189">
        <v>1.2639720000000001</v>
      </c>
      <c r="I189">
        <v>5.0699999999999996E-4</v>
      </c>
      <c r="J189">
        <v>-1.03E-2</v>
      </c>
      <c r="K189">
        <v>0.26529999999999998</v>
      </c>
      <c r="L189">
        <v>1970318.4</v>
      </c>
      <c r="M189">
        <v>-23722363.199999999</v>
      </c>
      <c r="N189">
        <v>-1.2699999999999999E-2</v>
      </c>
    </row>
    <row r="190" spans="1:16" x14ac:dyDescent="0.35">
      <c r="B190" t="s">
        <v>30</v>
      </c>
      <c r="C190">
        <v>1.5247999999999999E-2</v>
      </c>
      <c r="D190">
        <v>0.19301699999999999</v>
      </c>
      <c r="E190">
        <v>1.2532779999999999</v>
      </c>
      <c r="F190">
        <v>-3.8647000000000001E-2</v>
      </c>
      <c r="G190">
        <v>0.35999900000000001</v>
      </c>
      <c r="H190">
        <v>1.0863389999999999</v>
      </c>
      <c r="I190">
        <v>4.44E-4</v>
      </c>
      <c r="J190">
        <v>-2.2800000000000001E-2</v>
      </c>
      <c r="K190">
        <v>0.72529999999999994</v>
      </c>
      <c r="L190">
        <v>-1497641.4</v>
      </c>
      <c r="M190">
        <v>-19078482.800000001</v>
      </c>
      <c r="N190">
        <v>-2.8E-3</v>
      </c>
    </row>
    <row r="191" spans="1:16" x14ac:dyDescent="0.35">
      <c r="B191" t="s">
        <v>29</v>
      </c>
      <c r="C191">
        <v>-5.7695000000000003E-2</v>
      </c>
      <c r="D191">
        <v>0.29045900000000002</v>
      </c>
      <c r="E191">
        <v>-2.8871479999999998</v>
      </c>
      <c r="F191">
        <v>-9.3059000000000003E-2</v>
      </c>
      <c r="G191">
        <v>-20.729980000000001</v>
      </c>
      <c r="H191">
        <v>1.3880539999999999</v>
      </c>
      <c r="I191">
        <v>-3.9870000000000001E-3</v>
      </c>
      <c r="J191">
        <v>-3.27E-2</v>
      </c>
      <c r="K191">
        <v>0.66449999999999998</v>
      </c>
      <c r="L191">
        <v>758455.6</v>
      </c>
      <c r="M191">
        <v>-7628868.7999999998</v>
      </c>
      <c r="N191">
        <v>-1.5599999999999999E-2</v>
      </c>
    </row>
    <row r="192" spans="1:16" x14ac:dyDescent="0.35">
      <c r="B192" t="s">
        <v>28</v>
      </c>
      <c r="C192">
        <v>3.1029999999999999E-2</v>
      </c>
      <c r="D192">
        <v>0.22276799999999999</v>
      </c>
      <c r="E192">
        <v>2.139618</v>
      </c>
      <c r="F192">
        <v>-4.5043E-2</v>
      </c>
      <c r="G192">
        <v>9.0894169999999992</v>
      </c>
      <c r="H192">
        <v>0.61699199999999998</v>
      </c>
      <c r="I192">
        <v>1.598E-3</v>
      </c>
      <c r="J192">
        <v>-3.6400000000000002E-2</v>
      </c>
      <c r="K192">
        <v>0.1007</v>
      </c>
      <c r="L192">
        <v>-919908.6</v>
      </c>
      <c r="M192">
        <v>-3036697.2</v>
      </c>
      <c r="N192">
        <v>-1.6899999999999998E-2</v>
      </c>
      <c r="P192" s="12"/>
    </row>
    <row r="193" spans="1:17" x14ac:dyDescent="0.35">
      <c r="B193" t="s">
        <v>44</v>
      </c>
      <c r="C193">
        <v>3.6601000000000002E-2</v>
      </c>
      <c r="D193">
        <v>0.142738</v>
      </c>
      <c r="E193">
        <v>3.8040069999999999</v>
      </c>
      <c r="F193">
        <v>-1.6223999999999999E-2</v>
      </c>
      <c r="G193">
        <v>9.7099910000000005</v>
      </c>
      <c r="H193">
        <v>1.1617219999999999</v>
      </c>
      <c r="I193">
        <v>1.603E-3</v>
      </c>
      <c r="J193">
        <v>4.2700000000000002E-2</v>
      </c>
      <c r="K193">
        <v>-0.43980000000000002</v>
      </c>
      <c r="L193">
        <v>-287607.59999999998</v>
      </c>
      <c r="M193">
        <v>-4371015.2</v>
      </c>
      <c r="N193">
        <v>1.1900000000000001E-2</v>
      </c>
    </row>
    <row r="194" spans="1:17" x14ac:dyDescent="0.35">
      <c r="B194" t="s">
        <v>34</v>
      </c>
      <c r="C194">
        <v>-8.2106999999999999E-2</v>
      </c>
      <c r="D194">
        <v>0.11064599999999999</v>
      </c>
      <c r="E194">
        <v>-11.396875</v>
      </c>
      <c r="F194">
        <v>-8.2106999999999999E-2</v>
      </c>
      <c r="G194">
        <v>-25.713837000000002</v>
      </c>
      <c r="H194">
        <v>-3.4160000000000003E-2</v>
      </c>
      <c r="I194">
        <v>-4.9880000000000002E-3</v>
      </c>
      <c r="J194">
        <v>-4.5999999999999999E-2</v>
      </c>
      <c r="K194">
        <v>1.6540999999999999</v>
      </c>
      <c r="L194">
        <v>98312.8</v>
      </c>
      <c r="M194">
        <v>-1742034.4</v>
      </c>
      <c r="N194">
        <v>-9.2999999999999992E-3</v>
      </c>
      <c r="Q194" s="7"/>
    </row>
    <row r="195" spans="1:17" x14ac:dyDescent="0.35">
      <c r="B195" t="s">
        <v>45</v>
      </c>
      <c r="C195">
        <v>7.0222000000000007E-2</v>
      </c>
      <c r="D195">
        <v>0.28418199999999999</v>
      </c>
      <c r="E195">
        <v>3.6797330000000001</v>
      </c>
      <c r="F195">
        <v>-3.9836000000000003E-2</v>
      </c>
      <c r="G195">
        <v>6.1100009999999996</v>
      </c>
      <c r="H195">
        <v>1.1721699999999999</v>
      </c>
      <c r="I195">
        <v>3.5929999999999998E-3</v>
      </c>
      <c r="J195">
        <v>-1.14E-2</v>
      </c>
      <c r="K195">
        <v>-0.68400000000000005</v>
      </c>
      <c r="L195">
        <v>40107</v>
      </c>
      <c r="M195">
        <v>-2142286</v>
      </c>
      <c r="N195">
        <v>-3.5999999999999999E-3</v>
      </c>
      <c r="Q195" s="7"/>
    </row>
    <row r="196" spans="1:17" x14ac:dyDescent="0.35">
      <c r="B196" t="s">
        <v>46</v>
      </c>
      <c r="C196">
        <v>-2.5714999999999998E-2</v>
      </c>
      <c r="D196">
        <v>0.15224699999999999</v>
      </c>
      <c r="E196">
        <v>-2.4625780000000002</v>
      </c>
      <c r="F196">
        <v>-3.7252E-2</v>
      </c>
      <c r="G196">
        <v>-1.860001</v>
      </c>
      <c r="H196">
        <v>0.617066</v>
      </c>
      <c r="I196">
        <v>-1.781E-3</v>
      </c>
      <c r="J196">
        <v>-2.8999999999999998E-3</v>
      </c>
      <c r="K196">
        <v>0.88360000000000005</v>
      </c>
      <c r="L196">
        <v>-166071.20000000001</v>
      </c>
      <c r="M196">
        <v>-3560662.4</v>
      </c>
      <c r="N196">
        <v>8.3999999999999995E-3</v>
      </c>
      <c r="Q196" s="7"/>
    </row>
    <row r="197" spans="1:17" x14ac:dyDescent="0.35">
      <c r="B197" t="s">
        <v>47</v>
      </c>
      <c r="C197">
        <v>-1.1316E-2</v>
      </c>
      <c r="D197">
        <v>0.19318099999999999</v>
      </c>
      <c r="E197">
        <v>-0.78193800000000002</v>
      </c>
      <c r="F197">
        <v>-3.5684E-2</v>
      </c>
      <c r="G197">
        <v>-1.0668409999999999</v>
      </c>
      <c r="H197">
        <v>1.47567</v>
      </c>
      <c r="I197">
        <v>-1.2999999999999999E-3</v>
      </c>
      <c r="J197">
        <v>2.1299999999999999E-2</v>
      </c>
      <c r="K197">
        <v>-7.2099999999999997E-2</v>
      </c>
      <c r="L197">
        <v>-56475.199999999997</v>
      </c>
      <c r="M197">
        <v>-747890.4</v>
      </c>
      <c r="N197">
        <v>8.6E-3</v>
      </c>
      <c r="Q197" s="7"/>
    </row>
    <row r="198" spans="1:17" x14ac:dyDescent="0.35">
      <c r="B198" t="s">
        <v>35</v>
      </c>
      <c r="C198">
        <v>-4.206E-2</v>
      </c>
      <c r="D198">
        <v>0.29073900000000003</v>
      </c>
      <c r="E198">
        <v>-2.0510630000000001</v>
      </c>
      <c r="F198">
        <v>-6.8264000000000005E-2</v>
      </c>
      <c r="G198">
        <v>-2.6252140000000002</v>
      </c>
      <c r="H198">
        <v>2.338587</v>
      </c>
      <c r="I198">
        <v>-3.4770000000000001E-3</v>
      </c>
      <c r="J198">
        <v>4.7999999999999996E-3</v>
      </c>
      <c r="K198">
        <v>0.84</v>
      </c>
      <c r="L198">
        <v>-634548.6</v>
      </c>
      <c r="M198">
        <v>-4611717.2</v>
      </c>
      <c r="N198">
        <v>6.8999999999999999E-3</v>
      </c>
      <c r="Q198" s="7"/>
    </row>
    <row r="199" spans="1:17" x14ac:dyDescent="0.35">
      <c r="B199" t="s">
        <v>48</v>
      </c>
      <c r="C199">
        <v>-3.3232999999999999E-2</v>
      </c>
      <c r="D199">
        <v>0.16028000000000001</v>
      </c>
      <c r="E199">
        <v>-3.0470410000000001</v>
      </c>
      <c r="F199">
        <v>-4.6648000000000002E-2</v>
      </c>
      <c r="G199">
        <v>-4.335426</v>
      </c>
      <c r="H199">
        <v>0.61756999999999995</v>
      </c>
      <c r="I199">
        <v>-2.2309999999999999E-3</v>
      </c>
      <c r="J199">
        <v>9.4999999999999998E-3</v>
      </c>
      <c r="K199">
        <v>8.8999999999999996E-2</v>
      </c>
      <c r="L199">
        <v>-71380</v>
      </c>
      <c r="M199">
        <v>-1028600</v>
      </c>
      <c r="N199">
        <v>5.1999999999999998E-3</v>
      </c>
      <c r="Q199" s="7"/>
    </row>
    <row r="200" spans="1:17" x14ac:dyDescent="0.35">
      <c r="B200" t="s">
        <v>49</v>
      </c>
      <c r="C200">
        <v>8.1642000000000006E-2</v>
      </c>
      <c r="D200">
        <v>0.229044</v>
      </c>
      <c r="E200">
        <v>5.1980579999999996</v>
      </c>
      <c r="F200">
        <v>-3.6037E-2</v>
      </c>
      <c r="G200">
        <v>14.959991</v>
      </c>
      <c r="H200">
        <v>1.5784020000000001</v>
      </c>
      <c r="I200">
        <v>3.9750000000000002E-3</v>
      </c>
      <c r="J200">
        <v>3.2300000000000002E-2</v>
      </c>
      <c r="K200">
        <v>0.85409999999999997</v>
      </c>
      <c r="L200">
        <v>50565.2</v>
      </c>
      <c r="M200">
        <v>-3938749.6</v>
      </c>
      <c r="N200">
        <v>1.18E-2</v>
      </c>
      <c r="Q200" s="7"/>
    </row>
    <row r="201" spans="1:17" x14ac:dyDescent="0.35">
      <c r="B201" t="s">
        <v>32</v>
      </c>
      <c r="C201">
        <v>4.6903E-2</v>
      </c>
      <c r="D201">
        <v>0.162161</v>
      </c>
      <c r="E201">
        <v>4.271439</v>
      </c>
      <c r="F201">
        <v>-1.5813000000000001E-2</v>
      </c>
      <c r="G201">
        <v>5.269997</v>
      </c>
      <c r="H201">
        <v>1.111988</v>
      </c>
      <c r="I201">
        <v>2.2200000000000002E-3</v>
      </c>
      <c r="J201">
        <v>-2.2000000000000001E-3</v>
      </c>
      <c r="K201">
        <v>0.10680000000000001</v>
      </c>
      <c r="L201">
        <v>-275356.79999999999</v>
      </c>
      <c r="M201">
        <v>-4875853.5999999996</v>
      </c>
      <c r="N201">
        <v>-4.0000000000000001E-3</v>
      </c>
      <c r="Q201" s="7"/>
    </row>
    <row r="202" spans="1:17" x14ac:dyDescent="0.35">
      <c r="B202" t="s">
        <v>50</v>
      </c>
      <c r="C202">
        <v>4.5902999999999999E-2</v>
      </c>
      <c r="D202">
        <v>0.178063</v>
      </c>
      <c r="E202">
        <v>3.8247900000000001</v>
      </c>
      <c r="F202">
        <v>-2.2779000000000001E-2</v>
      </c>
      <c r="G202">
        <v>28.123901</v>
      </c>
      <c r="H202">
        <v>0.97936999999999996</v>
      </c>
      <c r="I202">
        <v>2.2369999999999998E-3</v>
      </c>
      <c r="J202">
        <v>4.8000000000000001E-2</v>
      </c>
      <c r="K202">
        <v>-0.60760000000000003</v>
      </c>
      <c r="L202">
        <v>108610</v>
      </c>
      <c r="M202">
        <v>-1317460</v>
      </c>
      <c r="N202">
        <v>1.37E-2</v>
      </c>
      <c r="Q202" s="7"/>
    </row>
    <row r="203" spans="1:17" x14ac:dyDescent="0.35">
      <c r="B203" t="s">
        <v>51</v>
      </c>
      <c r="C203">
        <v>3.3203999999999997E-2</v>
      </c>
      <c r="D203">
        <v>0.14677399999999999</v>
      </c>
      <c r="E203">
        <v>3.371337</v>
      </c>
      <c r="F203">
        <v>-2.0395E-2</v>
      </c>
      <c r="G203">
        <v>2.4000020000000002</v>
      </c>
      <c r="H203">
        <v>0.89392799999999994</v>
      </c>
      <c r="I203">
        <v>1.539E-3</v>
      </c>
      <c r="J203">
        <v>1.5299999999999999E-2</v>
      </c>
      <c r="K203">
        <v>0.99950000000000006</v>
      </c>
      <c r="L203">
        <v>-147450.79999999999</v>
      </c>
      <c r="M203">
        <v>-1574081.6</v>
      </c>
      <c r="N203">
        <v>1.09E-2</v>
      </c>
      <c r="Q203" s="7"/>
    </row>
    <row r="204" spans="1:17" x14ac:dyDescent="0.35">
      <c r="B204" t="s">
        <v>26</v>
      </c>
      <c r="C204">
        <v>-3.5039000000000001E-2</v>
      </c>
      <c r="D204">
        <v>0.25556400000000001</v>
      </c>
      <c r="E204">
        <v>-1.9460759999999999</v>
      </c>
      <c r="F204">
        <v>-6.6964999999999997E-2</v>
      </c>
      <c r="G204">
        <v>-6.0509339999999998</v>
      </c>
      <c r="H204">
        <v>1.0012730000000001</v>
      </c>
      <c r="I204">
        <v>-2.4489999999999998E-3</v>
      </c>
      <c r="J204">
        <v>-6.6900000000000001E-2</v>
      </c>
      <c r="K204">
        <v>-0.49099999999999999</v>
      </c>
      <c r="L204">
        <v>6436874.7999999998</v>
      </c>
      <c r="M204">
        <v>-16588310.4</v>
      </c>
      <c r="N204">
        <v>-4.7600000000000003E-2</v>
      </c>
      <c r="Q204" s="7"/>
    </row>
    <row r="205" spans="1:17" x14ac:dyDescent="0.35">
      <c r="B205" t="s">
        <v>33</v>
      </c>
      <c r="C205">
        <v>-1.4962E-2</v>
      </c>
      <c r="D205">
        <v>0.13878599999999999</v>
      </c>
      <c r="E205">
        <v>-1.544168</v>
      </c>
      <c r="F205">
        <v>-5.7311000000000001E-2</v>
      </c>
      <c r="G205">
        <v>-1.459999</v>
      </c>
      <c r="H205">
        <v>0.17924599999999999</v>
      </c>
      <c r="I205">
        <v>-9.3599999999999998E-4</v>
      </c>
      <c r="J205">
        <v>2.8000000000000001E-2</v>
      </c>
      <c r="K205">
        <v>0.8236</v>
      </c>
      <c r="L205">
        <v>-276241.8</v>
      </c>
      <c r="M205">
        <v>-3237583.6</v>
      </c>
      <c r="N205">
        <v>1.7999999999999999E-2</v>
      </c>
      <c r="Q205" s="7"/>
    </row>
    <row r="206" spans="1:17" x14ac:dyDescent="0.35">
      <c r="Q206" s="7"/>
    </row>
    <row r="207" spans="1:17" x14ac:dyDescent="0.35">
      <c r="A207" t="s">
        <v>59</v>
      </c>
      <c r="Q207" s="7"/>
    </row>
    <row r="208" spans="1:17" ht="29" x14ac:dyDescent="0.35">
      <c r="A208" s="1" t="s">
        <v>16</v>
      </c>
      <c r="B208" s="1" t="s">
        <v>12</v>
      </c>
      <c r="C208" s="1" t="s">
        <v>22</v>
      </c>
      <c r="D208" s="1" t="s">
        <v>3</v>
      </c>
      <c r="E208" s="1" t="s">
        <v>4</v>
      </c>
      <c r="F208" s="1" t="s">
        <v>7</v>
      </c>
      <c r="G208" s="1" t="s">
        <v>8</v>
      </c>
      <c r="H208" s="1" t="s">
        <v>5</v>
      </c>
      <c r="I208" s="1" t="s">
        <v>6</v>
      </c>
      <c r="J208" s="1" t="s">
        <v>17</v>
      </c>
      <c r="K208" s="1" t="s">
        <v>18</v>
      </c>
      <c r="L208" s="1" t="s">
        <v>19</v>
      </c>
      <c r="M208" s="1" t="s">
        <v>20</v>
      </c>
      <c r="N208" s="1" t="s">
        <v>21</v>
      </c>
      <c r="O208" s="1" t="s">
        <v>57</v>
      </c>
      <c r="Q208" s="7"/>
    </row>
    <row r="209" spans="1:17" x14ac:dyDescent="0.35">
      <c r="A209" s="9" t="s">
        <v>14</v>
      </c>
      <c r="B209" t="s">
        <v>23</v>
      </c>
      <c r="C209">
        <v>1.145E-3</v>
      </c>
      <c r="D209">
        <v>0.17268800000000001</v>
      </c>
      <c r="E209">
        <v>0.16966300000000001</v>
      </c>
      <c r="F209">
        <v>-4.0604000000000001E-2</v>
      </c>
      <c r="G209">
        <v>0.22999600000000001</v>
      </c>
      <c r="H209">
        <v>0.84365999999999997</v>
      </c>
      <c r="I209">
        <v>-1.823E-3</v>
      </c>
      <c r="J209">
        <v>4.0000000000000002E-4</v>
      </c>
      <c r="K209">
        <v>7.3300000000000004E-2</v>
      </c>
      <c r="L209">
        <v>3133470</v>
      </c>
      <c r="M209">
        <v>12183720</v>
      </c>
      <c r="N209">
        <v>0</v>
      </c>
      <c r="O209" s="6">
        <v>-2.5000000000000001E-3</v>
      </c>
      <c r="Q209" s="7"/>
    </row>
    <row r="210" spans="1:17" x14ac:dyDescent="0.35">
      <c r="B210" t="s">
        <v>24</v>
      </c>
      <c r="C210">
        <v>7.7286999999999995E-2</v>
      </c>
      <c r="D210">
        <v>0.10548200000000001</v>
      </c>
      <c r="E210">
        <v>9.4288629999999998</v>
      </c>
      <c r="F210">
        <v>-8.1650000000000004E-3</v>
      </c>
      <c r="G210">
        <v>35.580016999999998</v>
      </c>
      <c r="H210">
        <v>0.59335499999999997</v>
      </c>
      <c r="I210">
        <v>2.5829999999999998E-3</v>
      </c>
      <c r="J210">
        <v>3.8800000000000001E-2</v>
      </c>
      <c r="K210">
        <v>-1.5424</v>
      </c>
      <c r="L210">
        <v>1861050</v>
      </c>
      <c r="M210">
        <v>6655260</v>
      </c>
      <c r="N210">
        <v>7.3000000000000001E-3</v>
      </c>
      <c r="O210" s="6">
        <v>2.3599999999999999E-2</v>
      </c>
      <c r="Q210" s="7"/>
    </row>
    <row r="211" spans="1:17" x14ac:dyDescent="0.35">
      <c r="B211" t="s">
        <v>25</v>
      </c>
      <c r="C211">
        <v>0.16747500000000001</v>
      </c>
      <c r="D211">
        <v>0.249587</v>
      </c>
      <c r="E211">
        <v>8.3791829999999994</v>
      </c>
      <c r="F211">
        <v>-2.0896999999999999E-2</v>
      </c>
      <c r="G211">
        <v>22.629379</v>
      </c>
      <c r="H211">
        <v>1.5133760000000001</v>
      </c>
      <c r="I211">
        <v>4.8199999999999996E-3</v>
      </c>
      <c r="J211">
        <v>9.6600000000000005E-2</v>
      </c>
      <c r="K211">
        <v>-7.4399999999999994E-2</v>
      </c>
      <c r="L211">
        <v>21946840</v>
      </c>
      <c r="M211">
        <v>1275520</v>
      </c>
      <c r="N211">
        <v>3.9E-2</v>
      </c>
      <c r="O211" s="6">
        <v>7.5300000000000006E-2</v>
      </c>
      <c r="Q211" s="7"/>
    </row>
    <row r="212" spans="1:17" x14ac:dyDescent="0.35">
      <c r="B212" t="s">
        <v>27</v>
      </c>
      <c r="C212">
        <v>8.9215000000000003E-2</v>
      </c>
      <c r="D212">
        <v>0.22888500000000001</v>
      </c>
      <c r="E212">
        <v>5.0708580000000003</v>
      </c>
      <c r="F212">
        <v>-4.2001999999999998E-2</v>
      </c>
      <c r="G212">
        <v>18.290009000000001</v>
      </c>
      <c r="H212">
        <v>1.3486769999999999</v>
      </c>
      <c r="I212">
        <v>1.505E-3</v>
      </c>
      <c r="J212">
        <v>6.4899999999999999E-2</v>
      </c>
      <c r="K212">
        <v>1.0813999999999999</v>
      </c>
      <c r="L212">
        <v>17572420</v>
      </c>
      <c r="M212">
        <v>28568000</v>
      </c>
      <c r="N212">
        <v>3.9899999999999998E-2</v>
      </c>
      <c r="O212" s="6">
        <v>4.1500000000000002E-2</v>
      </c>
      <c r="Q212" s="7"/>
    </row>
    <row r="213" spans="1:17" x14ac:dyDescent="0.35">
      <c r="B213" t="s">
        <v>30</v>
      </c>
      <c r="C213">
        <v>2.98E-2</v>
      </c>
      <c r="D213">
        <v>0.16789200000000001</v>
      </c>
      <c r="E213">
        <v>2.400693</v>
      </c>
      <c r="F213">
        <v>-3.8647000000000001E-2</v>
      </c>
      <c r="G213">
        <v>0.70000099999999998</v>
      </c>
      <c r="H213">
        <v>0.74349799999999999</v>
      </c>
      <c r="I213">
        <v>-1.1E-4</v>
      </c>
      <c r="J213">
        <v>9.1999999999999998E-3</v>
      </c>
      <c r="K213">
        <v>-0.75370000000000004</v>
      </c>
      <c r="L213">
        <v>1252790</v>
      </c>
      <c r="M213">
        <v>4340040</v>
      </c>
      <c r="N213">
        <v>-6.9999999999999999E-4</v>
      </c>
      <c r="O213" s="6">
        <v>8.6999999999999994E-3</v>
      </c>
      <c r="P213" s="7"/>
      <c r="Q213" s="7"/>
    </row>
    <row r="214" spans="1:17" x14ac:dyDescent="0.35">
      <c r="B214" t="s">
        <v>29</v>
      </c>
      <c r="C214">
        <v>-4.5400999999999997E-2</v>
      </c>
      <c r="D214">
        <v>0.30118899999999998</v>
      </c>
      <c r="E214">
        <v>-1.8977759999999999</v>
      </c>
      <c r="F214">
        <v>-9.3059000000000003E-2</v>
      </c>
      <c r="G214">
        <v>-16.580017000000002</v>
      </c>
      <c r="H214">
        <v>1.7707349999999999</v>
      </c>
      <c r="I214">
        <v>-6.339E-3</v>
      </c>
      <c r="J214">
        <v>2.9700000000000001E-2</v>
      </c>
      <c r="K214">
        <v>0.1074</v>
      </c>
      <c r="L214">
        <v>-324730</v>
      </c>
      <c r="M214">
        <v>-748040</v>
      </c>
      <c r="N214">
        <v>4.4999999999999997E-3</v>
      </c>
      <c r="O214" s="6">
        <v>6.6E-3</v>
      </c>
    </row>
    <row r="215" spans="1:17" x14ac:dyDescent="0.35">
      <c r="B215" t="s">
        <v>28</v>
      </c>
      <c r="C215">
        <v>3.1116000000000001E-2</v>
      </c>
      <c r="D215">
        <v>0.23002300000000001</v>
      </c>
      <c r="E215">
        <v>1.876614</v>
      </c>
      <c r="F215">
        <v>-4.9248E-2</v>
      </c>
      <c r="G215">
        <v>9.3280940000000001</v>
      </c>
      <c r="H215">
        <v>0.84382900000000005</v>
      </c>
      <c r="I215">
        <v>-2.2699999999999999E-4</v>
      </c>
      <c r="J215">
        <v>2.35E-2</v>
      </c>
      <c r="K215">
        <v>1.3380000000000001</v>
      </c>
      <c r="L215">
        <v>38510</v>
      </c>
      <c r="M215">
        <v>3534080</v>
      </c>
      <c r="N215">
        <v>1.6799999999999999E-2</v>
      </c>
      <c r="O215" s="6">
        <v>6.4999999999999997E-3</v>
      </c>
      <c r="P215" s="3"/>
    </row>
    <row r="216" spans="1:17" x14ac:dyDescent="0.35">
      <c r="B216" t="s">
        <v>44</v>
      </c>
      <c r="C216">
        <v>8.7538000000000005E-2</v>
      </c>
      <c r="D216">
        <v>0.149425</v>
      </c>
      <c r="E216">
        <v>7.5354859999999997</v>
      </c>
      <c r="F216">
        <v>-1.6223999999999999E-2</v>
      </c>
      <c r="G216">
        <v>23.109985000000002</v>
      </c>
      <c r="H216">
        <v>1.0488440000000001</v>
      </c>
      <c r="I216">
        <v>2.0569999999999998E-3</v>
      </c>
      <c r="J216">
        <v>4.3999999999999997E-2</v>
      </c>
      <c r="K216">
        <v>-1.9069</v>
      </c>
      <c r="L216">
        <v>1920280</v>
      </c>
      <c r="M216">
        <v>3820260</v>
      </c>
      <c r="N216">
        <v>1.1299999999999999E-2</v>
      </c>
      <c r="O216" s="6">
        <v>3.7699999999999997E-2</v>
      </c>
    </row>
    <row r="217" spans="1:17" x14ac:dyDescent="0.35">
      <c r="B217" t="s">
        <v>34</v>
      </c>
      <c r="C217">
        <v>-6.5784999999999996E-2</v>
      </c>
      <c r="D217">
        <v>0.159188</v>
      </c>
      <c r="E217">
        <v>-5.5839800000000004</v>
      </c>
      <c r="F217">
        <v>-8.6765999999999996E-2</v>
      </c>
      <c r="G217">
        <v>-20.530028999999999</v>
      </c>
      <c r="H217">
        <v>0.44127</v>
      </c>
      <c r="I217">
        <v>-4.542E-3</v>
      </c>
      <c r="J217">
        <v>1.4200000000000001E-2</v>
      </c>
      <c r="K217">
        <v>1.33</v>
      </c>
      <c r="L217">
        <v>538990</v>
      </c>
      <c r="M217">
        <v>1008820</v>
      </c>
      <c r="N217">
        <v>9.7000000000000003E-3</v>
      </c>
      <c r="O217" s="6">
        <v>-1.34E-2</v>
      </c>
    </row>
    <row r="218" spans="1:17" x14ac:dyDescent="0.35">
      <c r="B218" t="s">
        <v>45</v>
      </c>
      <c r="C218">
        <v>9.7200999999999996E-2</v>
      </c>
      <c r="D218">
        <v>0.25209199999999998</v>
      </c>
      <c r="E218">
        <v>5.0104980000000001</v>
      </c>
      <c r="F218">
        <v>-4.4972999999999999E-2</v>
      </c>
      <c r="G218">
        <v>8.1600040000000007</v>
      </c>
      <c r="H218">
        <v>0.55633200000000005</v>
      </c>
      <c r="I218">
        <v>3.7330000000000002E-3</v>
      </c>
      <c r="J218">
        <v>-1.0800000000000001E-2</v>
      </c>
      <c r="K218">
        <v>0.76239999999999997</v>
      </c>
      <c r="L218">
        <v>2311170</v>
      </c>
      <c r="M218">
        <v>6088040</v>
      </c>
      <c r="N218">
        <v>3.5999999999999999E-3</v>
      </c>
      <c r="O218" s="6">
        <v>-5.4000000000000003E-3</v>
      </c>
    </row>
    <row r="219" spans="1:17" x14ac:dyDescent="0.35">
      <c r="B219" t="s">
        <v>46</v>
      </c>
      <c r="C219">
        <v>3.4691E-2</v>
      </c>
      <c r="D219">
        <v>0.15664400000000001</v>
      </c>
      <c r="E219">
        <v>2.9644180000000002</v>
      </c>
      <c r="F219">
        <v>-3.7252E-2</v>
      </c>
      <c r="G219">
        <v>2.4700009999999999</v>
      </c>
      <c r="H219">
        <v>0.70584999999999998</v>
      </c>
      <c r="I219">
        <v>2.2000000000000001E-4</v>
      </c>
      <c r="J219">
        <v>4.5400000000000003E-2</v>
      </c>
      <c r="K219">
        <v>0.82020000000000004</v>
      </c>
      <c r="L219">
        <v>603520</v>
      </c>
      <c r="M219">
        <v>876960</v>
      </c>
      <c r="N219">
        <v>1.49E-2</v>
      </c>
      <c r="O219" s="6">
        <v>1.1299999999999999E-2</v>
      </c>
    </row>
    <row r="220" spans="1:17" x14ac:dyDescent="0.35">
      <c r="B220" t="s">
        <v>47</v>
      </c>
      <c r="C220">
        <v>4.0794999999999998E-2</v>
      </c>
      <c r="D220">
        <v>0.18065200000000001</v>
      </c>
      <c r="E220">
        <v>3.0244119999999999</v>
      </c>
      <c r="F220">
        <v>-3.2351999999999999E-2</v>
      </c>
      <c r="G220">
        <v>3.7667079999999999</v>
      </c>
      <c r="H220">
        <v>1.2921849999999999</v>
      </c>
      <c r="I220">
        <v>-8.03E-4</v>
      </c>
      <c r="J220">
        <v>3.1E-2</v>
      </c>
      <c r="K220">
        <v>-1.1267</v>
      </c>
      <c r="L220">
        <v>101270</v>
      </c>
      <c r="M220">
        <v>364860</v>
      </c>
      <c r="N220">
        <v>8.8000000000000005E-3</v>
      </c>
      <c r="O220" s="6">
        <v>2.3300000000000001E-2</v>
      </c>
    </row>
    <row r="221" spans="1:17" x14ac:dyDescent="0.35">
      <c r="B221" t="s">
        <v>35</v>
      </c>
      <c r="C221">
        <v>0.196877</v>
      </c>
      <c r="D221">
        <v>0.61863299999999999</v>
      </c>
      <c r="E221">
        <v>4.1446170000000002</v>
      </c>
      <c r="F221">
        <v>-6.8264000000000005E-2</v>
      </c>
      <c r="G221">
        <v>11.850002</v>
      </c>
      <c r="H221">
        <v>2.8499249999999998</v>
      </c>
      <c r="I221">
        <v>3.6229999999999999E-3</v>
      </c>
      <c r="J221">
        <v>0.2049</v>
      </c>
      <c r="K221">
        <v>1.9542999999999999</v>
      </c>
      <c r="L221">
        <v>23019000</v>
      </c>
      <c r="M221">
        <v>31870460</v>
      </c>
      <c r="N221">
        <v>0.1341</v>
      </c>
      <c r="O221" s="6">
        <v>2.9000000000000001E-2</v>
      </c>
    </row>
    <row r="222" spans="1:17" x14ac:dyDescent="0.35">
      <c r="B222" t="s">
        <v>48</v>
      </c>
      <c r="C222">
        <v>-3.5880000000000002E-2</v>
      </c>
      <c r="D222">
        <v>0.16642000000000001</v>
      </c>
      <c r="E222">
        <v>-2.8301479999999999</v>
      </c>
      <c r="F222">
        <v>-4.6080999999999997E-2</v>
      </c>
      <c r="G222">
        <v>-4.6399920000000003</v>
      </c>
      <c r="H222">
        <v>0.52057699999999996</v>
      </c>
      <c r="I222">
        <v>-3.0660000000000001E-3</v>
      </c>
      <c r="J222">
        <v>-1.14E-2</v>
      </c>
      <c r="K222">
        <v>0.16309999999999999</v>
      </c>
      <c r="L222">
        <v>564200</v>
      </c>
      <c r="M222">
        <v>633960</v>
      </c>
      <c r="N222">
        <v>-6.4000000000000003E-3</v>
      </c>
      <c r="O222" s="6">
        <v>-2.1100000000000001E-2</v>
      </c>
    </row>
    <row r="223" spans="1:17" x14ac:dyDescent="0.35">
      <c r="B223" t="s">
        <v>49</v>
      </c>
      <c r="C223">
        <v>0.13251299999999999</v>
      </c>
      <c r="D223">
        <v>0.220327</v>
      </c>
      <c r="E223">
        <v>7.6193090000000003</v>
      </c>
      <c r="F223">
        <v>-3.6037E-2</v>
      </c>
      <c r="G223">
        <v>24.229996</v>
      </c>
      <c r="H223">
        <v>1.512435</v>
      </c>
      <c r="I223">
        <v>3.1849999999999999E-3</v>
      </c>
      <c r="J223">
        <v>4.48E-2</v>
      </c>
      <c r="K223">
        <v>-0.57969999999999999</v>
      </c>
      <c r="L223">
        <v>502040</v>
      </c>
      <c r="M223">
        <v>1565700</v>
      </c>
      <c r="N223">
        <v>9.1999999999999998E-3</v>
      </c>
      <c r="O223" s="6">
        <v>2.4400000000000002E-2</v>
      </c>
    </row>
    <row r="224" spans="1:17" x14ac:dyDescent="0.35">
      <c r="B224" t="s">
        <v>32</v>
      </c>
      <c r="C224">
        <v>8.6887000000000006E-2</v>
      </c>
      <c r="D224">
        <v>0.158494</v>
      </c>
      <c r="E224">
        <v>7.0620969999999996</v>
      </c>
      <c r="F224">
        <v>-1.5813000000000001E-2</v>
      </c>
      <c r="G224">
        <v>9.7799990000000001</v>
      </c>
      <c r="H224">
        <v>0.98200900000000002</v>
      </c>
      <c r="I224">
        <v>2.1840000000000002E-3</v>
      </c>
      <c r="J224">
        <v>4.4499999999999998E-2</v>
      </c>
      <c r="K224">
        <v>-0.27879999999999999</v>
      </c>
      <c r="L224">
        <v>1225500</v>
      </c>
      <c r="M224">
        <v>1470820</v>
      </c>
      <c r="N224">
        <v>2.1000000000000001E-2</v>
      </c>
      <c r="O224" s="6">
        <v>3.5900000000000001E-2</v>
      </c>
    </row>
    <row r="225" spans="1:15" x14ac:dyDescent="0.35">
      <c r="B225" t="s">
        <v>50</v>
      </c>
      <c r="C225">
        <v>0.15048700000000001</v>
      </c>
      <c r="D225">
        <v>0.18229000000000001</v>
      </c>
      <c r="E225">
        <v>10.323333</v>
      </c>
      <c r="F225">
        <v>-1.8509000000000001E-2</v>
      </c>
      <c r="G225">
        <v>90.359984999999995</v>
      </c>
      <c r="H225">
        <v>1.088721</v>
      </c>
      <c r="I225">
        <v>4.9649999999999998E-3</v>
      </c>
      <c r="J225">
        <v>7.8E-2</v>
      </c>
      <c r="K225">
        <v>-1.2239</v>
      </c>
      <c r="L225">
        <v>379330</v>
      </c>
      <c r="M225">
        <v>409720</v>
      </c>
      <c r="N225">
        <v>2.9000000000000001E-2</v>
      </c>
      <c r="O225" s="6">
        <v>6.2300000000000001E-2</v>
      </c>
    </row>
    <row r="226" spans="1:15" x14ac:dyDescent="0.35">
      <c r="B226" t="s">
        <v>51</v>
      </c>
      <c r="C226">
        <v>2.7533999999999999E-2</v>
      </c>
      <c r="D226">
        <v>0.14629600000000001</v>
      </c>
      <c r="E226">
        <v>2.5335679999999998</v>
      </c>
      <c r="F226">
        <v>-2.0395E-2</v>
      </c>
      <c r="G226">
        <v>2.0100020000000001</v>
      </c>
      <c r="H226">
        <v>0.68415199999999998</v>
      </c>
      <c r="I226">
        <v>-1.02E-4</v>
      </c>
      <c r="J226">
        <v>4.4000000000000003E-3</v>
      </c>
      <c r="K226">
        <v>0.56630000000000003</v>
      </c>
      <c r="L226">
        <v>178410</v>
      </c>
      <c r="M226">
        <v>518520</v>
      </c>
      <c r="N226">
        <v>-3.5000000000000001E-3</v>
      </c>
      <c r="O226" s="6">
        <v>-1.8200000000000001E-2</v>
      </c>
    </row>
    <row r="227" spans="1:15" x14ac:dyDescent="0.35">
      <c r="B227" t="s">
        <v>26</v>
      </c>
      <c r="C227">
        <v>4.0794999999999998E-2</v>
      </c>
      <c r="D227">
        <v>0.28792800000000002</v>
      </c>
      <c r="E227">
        <v>1.980318</v>
      </c>
      <c r="F227">
        <v>-7.5083999999999998E-2</v>
      </c>
      <c r="G227">
        <v>6.9976500000000001</v>
      </c>
      <c r="H227">
        <v>1.0319659999999999</v>
      </c>
      <c r="I227">
        <v>-1.1E-4</v>
      </c>
      <c r="J227">
        <v>7.1400000000000005E-2</v>
      </c>
      <c r="K227">
        <v>1.1347</v>
      </c>
      <c r="L227">
        <v>9197560</v>
      </c>
      <c r="M227">
        <v>34928760</v>
      </c>
      <c r="N227">
        <v>4.4400000000000002E-2</v>
      </c>
      <c r="O227" s="6">
        <v>5.0500000000000003E-2</v>
      </c>
    </row>
    <row r="228" spans="1:15" x14ac:dyDescent="0.35">
      <c r="B228" t="s">
        <v>33</v>
      </c>
      <c r="C228">
        <v>-1.4688E-2</v>
      </c>
      <c r="D228">
        <v>0.152203</v>
      </c>
      <c r="E228">
        <v>-1.2169030000000001</v>
      </c>
      <c r="F228">
        <v>-5.7311000000000001E-2</v>
      </c>
      <c r="G228">
        <v>-1.450005</v>
      </c>
      <c r="H228">
        <v>0.36842999999999998</v>
      </c>
      <c r="I228">
        <v>-1.5820000000000001E-3</v>
      </c>
      <c r="J228">
        <v>1.2E-2</v>
      </c>
      <c r="K228">
        <v>0.89810000000000001</v>
      </c>
      <c r="L228">
        <v>1895090</v>
      </c>
      <c r="M228">
        <v>6682580</v>
      </c>
      <c r="N228">
        <v>-1E-4</v>
      </c>
      <c r="O228" s="6">
        <v>-1.89E-2</v>
      </c>
    </row>
    <row r="231" spans="1:15" x14ac:dyDescent="0.35">
      <c r="A231" s="3"/>
      <c r="B231" s="3"/>
      <c r="C231" s="3"/>
      <c r="D231" s="3"/>
      <c r="E231" s="3"/>
      <c r="F231" s="3"/>
      <c r="G231" s="3" t="s">
        <v>113</v>
      </c>
      <c r="H231" s="3"/>
      <c r="I231" s="3"/>
      <c r="J231" s="3"/>
      <c r="K231" s="3"/>
      <c r="L231" s="3"/>
      <c r="M231" s="3"/>
      <c r="N231" s="3"/>
      <c r="O231" s="3"/>
    </row>
    <row r="233" spans="1:15" x14ac:dyDescent="0.35">
      <c r="A233" s="11" t="s">
        <v>71</v>
      </c>
    </row>
    <row r="234" spans="1:15" ht="29" x14ac:dyDescent="0.35">
      <c r="A234" s="1" t="s">
        <v>16</v>
      </c>
      <c r="B234" s="1" t="s">
        <v>12</v>
      </c>
      <c r="C234" s="1" t="s">
        <v>22</v>
      </c>
      <c r="D234" s="1" t="s">
        <v>3</v>
      </c>
      <c r="E234" s="1" t="s">
        <v>4</v>
      </c>
      <c r="F234" s="1" t="s">
        <v>7</v>
      </c>
      <c r="G234" s="1" t="s">
        <v>8</v>
      </c>
      <c r="H234" s="1" t="s">
        <v>5</v>
      </c>
      <c r="I234" s="1" t="s">
        <v>6</v>
      </c>
      <c r="J234" s="1" t="s">
        <v>17</v>
      </c>
      <c r="K234" s="1" t="s">
        <v>18</v>
      </c>
      <c r="L234" s="1" t="s">
        <v>19</v>
      </c>
      <c r="M234" s="1" t="s">
        <v>20</v>
      </c>
      <c r="N234" s="1" t="s">
        <v>21</v>
      </c>
    </row>
    <row r="235" spans="1:15" x14ac:dyDescent="0.35">
      <c r="A235" s="9" t="s">
        <v>15</v>
      </c>
      <c r="B235" t="s">
        <v>23</v>
      </c>
      <c r="C235">
        <v>6.0065E-2</v>
      </c>
      <c r="D235">
        <v>0.19472999999999999</v>
      </c>
      <c r="E235">
        <v>4.5393220000000003</v>
      </c>
      <c r="F235">
        <v>-3.4687000000000003E-2</v>
      </c>
      <c r="G235">
        <v>12.100006</v>
      </c>
      <c r="H235">
        <v>0.66030999999999995</v>
      </c>
      <c r="I235">
        <v>1.763E-3</v>
      </c>
      <c r="J235">
        <v>5.45E-2</v>
      </c>
      <c r="K235">
        <v>-1.6586000000000001</v>
      </c>
      <c r="L235">
        <v>-18637912</v>
      </c>
      <c r="M235">
        <v>-932204</v>
      </c>
      <c r="N235">
        <v>8.6999999999999994E-3</v>
      </c>
    </row>
    <row r="236" spans="1:15" x14ac:dyDescent="0.35">
      <c r="B236" t="s">
        <v>24</v>
      </c>
      <c r="C236">
        <v>5.5188000000000001E-2</v>
      </c>
      <c r="D236">
        <v>0.13444600000000001</v>
      </c>
      <c r="E236">
        <v>5.9952139999999998</v>
      </c>
      <c r="F236">
        <v>-1.2784999999999999E-2</v>
      </c>
      <c r="G236">
        <v>26.089995999999999</v>
      </c>
      <c r="H236">
        <v>0.86976100000000001</v>
      </c>
      <c r="I236">
        <v>9.01E-4</v>
      </c>
      <c r="J236">
        <v>5.1000000000000004E-3</v>
      </c>
      <c r="K236">
        <v>-0.21179999999999999</v>
      </c>
      <c r="L236">
        <v>-5355914.5999999996</v>
      </c>
      <c r="M236">
        <v>-1356149.2</v>
      </c>
      <c r="N236">
        <v>5.7999999999999996E-3</v>
      </c>
    </row>
    <row r="237" spans="1:15" x14ac:dyDescent="0.35">
      <c r="B237" t="s">
        <v>25</v>
      </c>
      <c r="C237">
        <v>0.117234</v>
      </c>
      <c r="D237">
        <v>0.287773</v>
      </c>
      <c r="E237">
        <v>5.863747</v>
      </c>
      <c r="F237">
        <v>-2.9685E-2</v>
      </c>
      <c r="G237">
        <v>16.719894</v>
      </c>
      <c r="H237">
        <v>1.5535890000000001</v>
      </c>
      <c r="I237">
        <v>2.5920000000000001E-3</v>
      </c>
      <c r="J237">
        <v>4.8999999999999998E-3</v>
      </c>
      <c r="K237">
        <v>-0.33450000000000002</v>
      </c>
      <c r="L237">
        <v>-31428194</v>
      </c>
      <c r="M237">
        <v>-23953968</v>
      </c>
      <c r="N237">
        <v>7.9000000000000008E-3</v>
      </c>
    </row>
    <row r="238" spans="1:15" x14ac:dyDescent="0.35">
      <c r="B238" t="s">
        <v>27</v>
      </c>
      <c r="C238">
        <v>2.9634000000000001E-2</v>
      </c>
      <c r="D238">
        <v>0.235815</v>
      </c>
      <c r="E238">
        <v>1.947711</v>
      </c>
      <c r="F238">
        <v>-4.2001999999999998E-2</v>
      </c>
      <c r="G238">
        <v>6.4300079999999999</v>
      </c>
      <c r="H238">
        <v>1.3057430000000001</v>
      </c>
      <c r="I238">
        <v>-1.627E-3</v>
      </c>
      <c r="J238">
        <v>2.5999999999999999E-3</v>
      </c>
      <c r="K238">
        <v>0.13700000000000001</v>
      </c>
      <c r="L238">
        <v>-9173256.5999999996</v>
      </c>
      <c r="M238">
        <v>879246.8</v>
      </c>
      <c r="N238">
        <v>1.11E-2</v>
      </c>
    </row>
    <row r="239" spans="1:15" x14ac:dyDescent="0.35">
      <c r="B239" t="s">
        <v>30</v>
      </c>
      <c r="C239">
        <v>5.8824000000000001E-2</v>
      </c>
      <c r="D239">
        <v>0.18283199999999999</v>
      </c>
      <c r="E239">
        <v>4.7273699999999996</v>
      </c>
      <c r="F239">
        <v>-3.8647000000000001E-2</v>
      </c>
      <c r="G239">
        <v>1.41</v>
      </c>
      <c r="H239">
        <v>0.54225900000000005</v>
      </c>
      <c r="I239">
        <v>1.9970000000000001E-3</v>
      </c>
      <c r="J239">
        <v>4.3200000000000002E-2</v>
      </c>
      <c r="K239">
        <v>-1.0723</v>
      </c>
      <c r="L239">
        <v>-9499882</v>
      </c>
      <c r="M239">
        <v>-3926424</v>
      </c>
      <c r="N239">
        <v>7.7000000000000002E-3</v>
      </c>
    </row>
    <row r="240" spans="1:15" x14ac:dyDescent="0.35">
      <c r="B240" t="s">
        <v>28</v>
      </c>
      <c r="C240">
        <v>2.4903000000000002E-2</v>
      </c>
      <c r="D240">
        <v>0.357487</v>
      </c>
      <c r="E240">
        <v>1.190212</v>
      </c>
      <c r="F240">
        <v>-5.6968999999999999E-2</v>
      </c>
      <c r="G240">
        <v>7.4971009999999998</v>
      </c>
      <c r="H240">
        <v>9.9600999999999995E-2</v>
      </c>
      <c r="I240">
        <v>1.4250000000000001E-3</v>
      </c>
      <c r="J240">
        <v>-1.47E-2</v>
      </c>
      <c r="K240">
        <v>-0.31630000000000003</v>
      </c>
      <c r="L240">
        <v>-2306521.2000000002</v>
      </c>
      <c r="M240">
        <v>-2327582.4</v>
      </c>
      <c r="N240">
        <v>-2.3099999999999999E-2</v>
      </c>
    </row>
    <row r="241" spans="2:14" x14ac:dyDescent="0.35">
      <c r="B241" t="s">
        <v>49</v>
      </c>
      <c r="C241">
        <v>8.4383E-2</v>
      </c>
      <c r="D241">
        <v>0.204682</v>
      </c>
      <c r="E241">
        <v>5.9771359999999998</v>
      </c>
      <c r="F241">
        <v>-3.6037E-2</v>
      </c>
      <c r="G241">
        <v>16.809998</v>
      </c>
      <c r="H241">
        <v>1.563113</v>
      </c>
      <c r="I241">
        <v>7.2499999999999995E-4</v>
      </c>
      <c r="J241">
        <v>3.7100000000000001E-2</v>
      </c>
      <c r="K241">
        <v>-1.2526999999999999</v>
      </c>
      <c r="L241">
        <v>-1167712</v>
      </c>
      <c r="M241">
        <v>-615584</v>
      </c>
      <c r="N241">
        <v>8.8000000000000005E-3</v>
      </c>
    </row>
    <row r="242" spans="2:14" x14ac:dyDescent="0.35">
      <c r="B242" t="s">
        <v>32</v>
      </c>
      <c r="C242">
        <v>7.6679999999999998E-2</v>
      </c>
      <c r="D242">
        <v>0.160525</v>
      </c>
      <c r="E242">
        <v>6.9124169999999996</v>
      </c>
      <c r="F242">
        <v>-1.5813000000000001E-2</v>
      </c>
      <c r="G242">
        <v>8.8311229999999998</v>
      </c>
      <c r="H242">
        <v>0.96447099999999997</v>
      </c>
      <c r="I242">
        <v>1.8550000000000001E-3</v>
      </c>
      <c r="J242">
        <v>7.0000000000000001E-3</v>
      </c>
      <c r="K242">
        <v>-0.98399999999999999</v>
      </c>
      <c r="L242">
        <v>-2741867.2</v>
      </c>
      <c r="M242">
        <v>538325.6</v>
      </c>
      <c r="N242">
        <v>-2.7000000000000001E-3</v>
      </c>
    </row>
    <row r="243" spans="2:14" x14ac:dyDescent="0.35">
      <c r="B243" t="s">
        <v>26</v>
      </c>
      <c r="C243">
        <v>1.9535E-2</v>
      </c>
      <c r="D243">
        <v>0.26605400000000001</v>
      </c>
      <c r="E243">
        <v>1.2042219999999999</v>
      </c>
      <c r="F243">
        <v>-7.5083999999999998E-2</v>
      </c>
      <c r="G243">
        <v>3.4400019999999998</v>
      </c>
      <c r="H243">
        <v>1.030537</v>
      </c>
      <c r="I243">
        <v>-1.451E-3</v>
      </c>
      <c r="J243">
        <v>-6.7999999999999996E-3</v>
      </c>
      <c r="K243">
        <v>-1.0111000000000001</v>
      </c>
      <c r="L243">
        <v>-11435574.4</v>
      </c>
      <c r="M243">
        <v>3497491.2</v>
      </c>
      <c r="N243">
        <v>-1.1000000000000001E-3</v>
      </c>
    </row>
    <row r="244" spans="2:14" x14ac:dyDescent="0.35">
      <c r="B244" t="s">
        <v>33</v>
      </c>
      <c r="C244">
        <v>9.3380000000000008E-3</v>
      </c>
      <c r="D244">
        <v>0.150116</v>
      </c>
      <c r="E244">
        <v>0.98867300000000002</v>
      </c>
      <c r="F244">
        <v>-3.2836999999999998E-2</v>
      </c>
      <c r="G244">
        <v>0.91000400000000004</v>
      </c>
      <c r="H244">
        <v>0.291576</v>
      </c>
      <c r="I244">
        <v>-1.8100000000000001E-4</v>
      </c>
      <c r="J244">
        <v>9.4000000000000004E-3</v>
      </c>
      <c r="K244">
        <v>-0.70540000000000003</v>
      </c>
      <c r="L244">
        <v>-3517211.8</v>
      </c>
      <c r="M244">
        <v>-337583.6</v>
      </c>
      <c r="N244">
        <v>1.5E-3</v>
      </c>
    </row>
    <row r="245" spans="2:14" x14ac:dyDescent="0.35">
      <c r="B245" t="s">
        <v>47</v>
      </c>
      <c r="C245">
        <v>6.8783999999999998E-2</v>
      </c>
      <c r="D245">
        <v>0.184085</v>
      </c>
      <c r="E245">
        <v>5.4537940000000003</v>
      </c>
      <c r="F245">
        <v>-3.2351999999999999E-2</v>
      </c>
      <c r="G245">
        <v>6.4453740000000002</v>
      </c>
      <c r="H245">
        <v>1.166172</v>
      </c>
      <c r="I245">
        <v>9.0300000000000005E-4</v>
      </c>
      <c r="J245">
        <v>3.5200000000000002E-2</v>
      </c>
      <c r="K245">
        <v>-1.3680000000000001</v>
      </c>
      <c r="L245">
        <v>-409724.6</v>
      </c>
      <c r="M245">
        <v>-139129.20000000001</v>
      </c>
      <c r="N245">
        <v>5.4000000000000003E-3</v>
      </c>
    </row>
    <row r="246" spans="2:14" x14ac:dyDescent="0.35">
      <c r="B246" t="s">
        <v>46</v>
      </c>
      <c r="C246">
        <v>5.5827000000000002E-2</v>
      </c>
      <c r="D246">
        <v>0.16584699999999999</v>
      </c>
      <c r="E246">
        <v>4.9414210000000001</v>
      </c>
      <c r="F246">
        <v>-3.7252E-2</v>
      </c>
      <c r="G246" s="16">
        <v>4</v>
      </c>
      <c r="H246">
        <v>0.86346900000000004</v>
      </c>
      <c r="I246">
        <v>9.7099999999999997E-4</v>
      </c>
      <c r="J246">
        <v>1.72E-2</v>
      </c>
      <c r="K246">
        <v>-1.2937000000000001</v>
      </c>
      <c r="L246">
        <v>-1144547.3999999999</v>
      </c>
      <c r="M246">
        <v>-60734.8</v>
      </c>
      <c r="N246">
        <v>3.5999999999999999E-3</v>
      </c>
    </row>
    <row r="247" spans="2:14" x14ac:dyDescent="0.35">
      <c r="B247" t="s">
        <v>50</v>
      </c>
      <c r="C247">
        <v>0.17955399999999999</v>
      </c>
      <c r="D247">
        <v>0.188198</v>
      </c>
      <c r="E247">
        <v>13.158545</v>
      </c>
      <c r="F247">
        <v>-1.8509000000000001E-2</v>
      </c>
      <c r="G247">
        <v>110.15997299999999</v>
      </c>
      <c r="H247">
        <v>1.3076829999999999</v>
      </c>
      <c r="I247">
        <v>6.3720000000000001E-3</v>
      </c>
      <c r="J247">
        <v>3.3300000000000003E-2</v>
      </c>
      <c r="K247">
        <v>-1.5412999999999999</v>
      </c>
      <c r="L247">
        <v>-767041.8</v>
      </c>
      <c r="M247">
        <v>29456.400000000001</v>
      </c>
      <c r="N247">
        <v>5.0000000000000001E-4</v>
      </c>
    </row>
    <row r="248" spans="2:14" x14ac:dyDescent="0.35">
      <c r="B248" t="s">
        <v>34</v>
      </c>
      <c r="C248">
        <v>-3.5106999999999999E-2</v>
      </c>
      <c r="D248">
        <v>0.187393</v>
      </c>
      <c r="E248">
        <v>-2.7359040000000001</v>
      </c>
      <c r="F248">
        <v>-6.3094999999999998E-2</v>
      </c>
      <c r="G248">
        <v>-10.700011999999999</v>
      </c>
      <c r="H248">
        <v>0.31669700000000001</v>
      </c>
      <c r="I248">
        <v>-2.8709999999999999E-3</v>
      </c>
      <c r="J248">
        <v>9.7999999999999997E-3</v>
      </c>
      <c r="K248">
        <v>-9.2999999999999999E-2</v>
      </c>
      <c r="L248">
        <v>-1154497.6000000001</v>
      </c>
      <c r="M248">
        <v>-63195.199999999997</v>
      </c>
      <c r="N248">
        <v>-5.0000000000000001E-4</v>
      </c>
    </row>
    <row r="249" spans="2:14" x14ac:dyDescent="0.35">
      <c r="B249" t="s">
        <v>44</v>
      </c>
      <c r="C249">
        <v>0.115041</v>
      </c>
      <c r="D249">
        <v>0.14516599999999999</v>
      </c>
      <c r="E249">
        <v>11.223044</v>
      </c>
      <c r="F249">
        <v>-1.3589E-2</v>
      </c>
      <c r="G249">
        <v>30.538910000000001</v>
      </c>
      <c r="H249">
        <v>1.0169299999999999</v>
      </c>
      <c r="I249">
        <v>3.7780000000000001E-3</v>
      </c>
      <c r="J249">
        <v>2.2499999999999999E-2</v>
      </c>
      <c r="K249">
        <v>-1.6823999999999999</v>
      </c>
      <c r="L249">
        <v>-2150210.6</v>
      </c>
      <c r="M249">
        <v>-375941.2</v>
      </c>
      <c r="N249">
        <v>3.0999999999999999E-3</v>
      </c>
    </row>
    <row r="250" spans="2:14" x14ac:dyDescent="0.35">
      <c r="B250" t="s">
        <v>62</v>
      </c>
      <c r="C250">
        <v>1.379E-2</v>
      </c>
      <c r="D250">
        <v>0.14915200000000001</v>
      </c>
      <c r="E250">
        <v>1.432212</v>
      </c>
      <c r="F250">
        <v>-3.5263999999999997E-2</v>
      </c>
      <c r="G250">
        <v>0.58954600000000001</v>
      </c>
      <c r="H250">
        <v>0.79273099999999996</v>
      </c>
      <c r="I250">
        <v>-1.2470000000000001E-3</v>
      </c>
      <c r="J250">
        <v>2.1999999999999999E-2</v>
      </c>
      <c r="K250">
        <v>-1.8311999999999999</v>
      </c>
      <c r="L250">
        <v>-407856</v>
      </c>
      <c r="M250">
        <v>-282552</v>
      </c>
      <c r="N250">
        <v>5.9999999999999995E-4</v>
      </c>
    </row>
    <row r="251" spans="2:14" x14ac:dyDescent="0.35">
      <c r="B251" t="s">
        <v>63</v>
      </c>
      <c r="C251">
        <v>5.9389999999999998E-2</v>
      </c>
      <c r="D251">
        <v>0.23241200000000001</v>
      </c>
      <c r="E251">
        <v>3.795919</v>
      </c>
      <c r="F251">
        <v>-4.0526E-2</v>
      </c>
      <c r="G251">
        <v>72.720093000000006</v>
      </c>
      <c r="H251">
        <v>1.001873</v>
      </c>
      <c r="I251">
        <v>8.5400000000000005E-4</v>
      </c>
      <c r="J251">
        <v>-2.5899999999999999E-2</v>
      </c>
      <c r="K251">
        <v>-7.9600000000000004E-2</v>
      </c>
      <c r="L251">
        <v>-737719.8</v>
      </c>
      <c r="M251">
        <v>-320459.59999999998</v>
      </c>
      <c r="N251">
        <v>-9.1000000000000004E-3</v>
      </c>
    </row>
    <row r="252" spans="2:14" x14ac:dyDescent="0.35">
      <c r="B252" t="s">
        <v>64</v>
      </c>
      <c r="C252">
        <v>2.8485E-2</v>
      </c>
      <c r="D252">
        <v>0.33174500000000001</v>
      </c>
      <c r="E252">
        <v>1.4142950000000001</v>
      </c>
      <c r="F252">
        <v>-8.3587999999999996E-2</v>
      </c>
      <c r="G252">
        <v>8.2599789999999995</v>
      </c>
      <c r="H252">
        <v>3.8603999999999999E-2</v>
      </c>
      <c r="I252">
        <v>1.7600000000000001E-3</v>
      </c>
      <c r="J252">
        <v>5.9900000000000002E-2</v>
      </c>
      <c r="K252">
        <v>-1.4557</v>
      </c>
      <c r="L252">
        <v>-644476</v>
      </c>
      <c r="M252">
        <v>-178812</v>
      </c>
      <c r="N252">
        <v>7.0000000000000001E-3</v>
      </c>
    </row>
    <row r="253" spans="2:14" x14ac:dyDescent="0.35">
      <c r="B253" t="s">
        <v>65</v>
      </c>
      <c r="C253">
        <v>3.0616000000000001E-2</v>
      </c>
      <c r="D253">
        <v>0.163494</v>
      </c>
      <c r="E253">
        <v>2.813307</v>
      </c>
      <c r="F253">
        <v>-2.1437000000000001E-2</v>
      </c>
      <c r="G253">
        <v>3.1699980000000001</v>
      </c>
      <c r="H253">
        <v>1.2464820000000001</v>
      </c>
      <c r="I253">
        <v>-1.4679999999999999E-3</v>
      </c>
      <c r="J253">
        <v>1.1299999999999999E-2</v>
      </c>
      <c r="K253">
        <v>-0.76900000000000002</v>
      </c>
      <c r="L253">
        <v>-976706.8</v>
      </c>
      <c r="M253">
        <v>-424493.6</v>
      </c>
      <c r="N253">
        <v>5.5999999999999999E-3</v>
      </c>
    </row>
    <row r="254" spans="2:14" x14ac:dyDescent="0.35">
      <c r="B254" t="s">
        <v>66</v>
      </c>
      <c r="C254">
        <v>0.111123</v>
      </c>
      <c r="D254">
        <v>0.17849599999999999</v>
      </c>
      <c r="E254">
        <v>8.86144</v>
      </c>
      <c r="F254">
        <v>-1.677E-2</v>
      </c>
      <c r="G254">
        <v>39.789977999999998</v>
      </c>
      <c r="H254">
        <v>1.1868829999999999</v>
      </c>
      <c r="I254">
        <v>3.1410000000000001E-3</v>
      </c>
      <c r="J254">
        <v>2.1399999999999999E-2</v>
      </c>
      <c r="K254">
        <v>-1.57</v>
      </c>
      <c r="L254">
        <v>-415290</v>
      </c>
      <c r="M254">
        <v>-262440</v>
      </c>
      <c r="N254">
        <v>-1.9E-3</v>
      </c>
    </row>
    <row r="255" spans="2:14" x14ac:dyDescent="0.35">
      <c r="B255" t="s">
        <v>67</v>
      </c>
      <c r="C255">
        <v>9.4363000000000002E-2</v>
      </c>
      <c r="D255">
        <v>0.16533600000000001</v>
      </c>
      <c r="E255">
        <v>8.1838619999999995</v>
      </c>
      <c r="F255">
        <v>-2.4282999999999999E-2</v>
      </c>
      <c r="G255">
        <v>93.309997999999993</v>
      </c>
      <c r="H255">
        <v>1.2840670000000001</v>
      </c>
      <c r="I255">
        <v>1.977E-3</v>
      </c>
      <c r="J255">
        <v>3.1300000000000001E-2</v>
      </c>
      <c r="K255">
        <v>-1.2341</v>
      </c>
      <c r="L255">
        <v>-74425.2</v>
      </c>
      <c r="M255">
        <v>-40650.400000000001</v>
      </c>
      <c r="N255">
        <v>1.24E-2</v>
      </c>
    </row>
    <row r="256" spans="2:14" x14ac:dyDescent="0.35">
      <c r="B256" t="s">
        <v>68</v>
      </c>
      <c r="C256">
        <v>2.3827000000000001E-2</v>
      </c>
      <c r="D256">
        <v>0.111719</v>
      </c>
      <c r="E256">
        <v>3.1790929999999999</v>
      </c>
      <c r="F256">
        <v>-1.3140000000000001E-2</v>
      </c>
      <c r="G256">
        <v>5.9799959999999999</v>
      </c>
      <c r="H256">
        <v>0.54654100000000005</v>
      </c>
      <c r="I256">
        <v>-3.4999999999999997E-5</v>
      </c>
      <c r="J256">
        <v>7.4999999999999997E-3</v>
      </c>
      <c r="K256">
        <v>-0.18129999999999999</v>
      </c>
      <c r="L256">
        <v>-200506.6</v>
      </c>
      <c r="M256">
        <v>3986.8</v>
      </c>
      <c r="N256">
        <v>8.9999999999999998E-4</v>
      </c>
    </row>
    <row r="257" spans="1:15" x14ac:dyDescent="0.35">
      <c r="B257" t="s">
        <v>69</v>
      </c>
      <c r="C257">
        <v>4.9242000000000001E-2</v>
      </c>
      <c r="D257">
        <v>0.18322099999999999</v>
      </c>
      <c r="E257">
        <v>3.9802179999999998</v>
      </c>
      <c r="F257">
        <v>-4.5114000000000001E-2</v>
      </c>
      <c r="G257">
        <v>13.696410999999999</v>
      </c>
      <c r="H257">
        <v>1.0857250000000001</v>
      </c>
      <c r="I257">
        <v>2.5999999999999998E-5</v>
      </c>
      <c r="J257">
        <v>3.27E-2</v>
      </c>
      <c r="K257">
        <v>-1.3713</v>
      </c>
      <c r="L257">
        <v>-272758.40000000002</v>
      </c>
      <c r="M257">
        <v>-141176.79999999999</v>
      </c>
      <c r="N257">
        <v>7.7000000000000002E-3</v>
      </c>
    </row>
    <row r="258" spans="1:15" x14ac:dyDescent="0.35">
      <c r="B258" t="s">
        <v>70</v>
      </c>
      <c r="C258">
        <v>5.2003000000000001E-2</v>
      </c>
      <c r="D258">
        <v>0.27566299999999999</v>
      </c>
      <c r="E258">
        <v>2.8604059999999998</v>
      </c>
      <c r="F258">
        <v>-5.9388000000000003E-2</v>
      </c>
      <c r="G258">
        <v>21.222961000000002</v>
      </c>
      <c r="H258">
        <v>1.1820200000000001</v>
      </c>
      <c r="I258">
        <v>6.0000000000000002E-6</v>
      </c>
      <c r="J258">
        <v>2.9499999999999998E-2</v>
      </c>
      <c r="K258">
        <v>-1.3177000000000001</v>
      </c>
      <c r="L258">
        <v>-744387.2</v>
      </c>
      <c r="M258">
        <v>33845.599999999999</v>
      </c>
      <c r="N258">
        <v>-1.2999999999999999E-3</v>
      </c>
    </row>
    <row r="261" spans="1:15" x14ac:dyDescent="0.35">
      <c r="A261" t="s">
        <v>72</v>
      </c>
    </row>
    <row r="262" spans="1:15" ht="29" x14ac:dyDescent="0.35">
      <c r="A262" s="1" t="s">
        <v>16</v>
      </c>
      <c r="B262" s="1" t="s">
        <v>12</v>
      </c>
      <c r="C262" s="1" t="s">
        <v>22</v>
      </c>
      <c r="D262" s="1" t="s">
        <v>3</v>
      </c>
      <c r="E262" s="1" t="s">
        <v>4</v>
      </c>
      <c r="F262" s="1" t="s">
        <v>7</v>
      </c>
      <c r="G262" s="1" t="s">
        <v>8</v>
      </c>
      <c r="H262" s="1" t="s">
        <v>5</v>
      </c>
      <c r="I262" s="1" t="s">
        <v>6</v>
      </c>
      <c r="J262" s="1" t="s">
        <v>17</v>
      </c>
      <c r="K262" s="1" t="s">
        <v>18</v>
      </c>
      <c r="L262" s="1" t="s">
        <v>19</v>
      </c>
      <c r="M262" s="1" t="s">
        <v>20</v>
      </c>
      <c r="N262" s="1" t="s">
        <v>21</v>
      </c>
      <c r="O262" s="1" t="s">
        <v>57</v>
      </c>
    </row>
    <row r="263" spans="1:15" x14ac:dyDescent="0.35">
      <c r="A263" s="9" t="s">
        <v>14</v>
      </c>
      <c r="B263" t="s">
        <v>23</v>
      </c>
      <c r="C263">
        <v>6.8568000000000004E-2</v>
      </c>
      <c r="D263">
        <v>0.18024699999999999</v>
      </c>
      <c r="E263">
        <v>4.9736560000000001</v>
      </c>
      <c r="F263">
        <v>-1.7871000000000001E-2</v>
      </c>
      <c r="G263">
        <v>13.630005000000001</v>
      </c>
      <c r="H263">
        <v>0.71518000000000004</v>
      </c>
      <c r="I263">
        <v>1.9610000000000001E-3</v>
      </c>
      <c r="J263">
        <v>-1.12E-2</v>
      </c>
      <c r="K263">
        <v>-0.43309999999999998</v>
      </c>
      <c r="L263">
        <v>-1949039.8</v>
      </c>
      <c r="M263">
        <v>-1606939.6</v>
      </c>
      <c r="N263">
        <v>1.1000000000000001E-3</v>
      </c>
      <c r="O263" s="6">
        <v>1.17E-2</v>
      </c>
    </row>
    <row r="264" spans="1:15" x14ac:dyDescent="0.35">
      <c r="B264" t="s">
        <v>24</v>
      </c>
      <c r="C264">
        <v>6.1064E-2</v>
      </c>
      <c r="D264">
        <v>0.136076</v>
      </c>
      <c r="E264">
        <v>5.8503860000000003</v>
      </c>
      <c r="F264">
        <v>-1.2784999999999999E-2</v>
      </c>
      <c r="G264">
        <v>28.860016000000002</v>
      </c>
      <c r="H264">
        <v>0.93982500000000002</v>
      </c>
      <c r="I264">
        <v>1.062E-3</v>
      </c>
      <c r="J264">
        <v>8.9999999999999993E-3</v>
      </c>
      <c r="K264">
        <v>0.28289999999999998</v>
      </c>
      <c r="L264">
        <v>933407.8</v>
      </c>
      <c r="M264">
        <v>-1002064.4</v>
      </c>
      <c r="N264">
        <v>5.5999999999999999E-3</v>
      </c>
      <c r="O264" s="6">
        <v>7.6E-3</v>
      </c>
    </row>
    <row r="265" spans="1:15" x14ac:dyDescent="0.35">
      <c r="B265" t="s">
        <v>25</v>
      </c>
      <c r="C265">
        <v>0.14891799999999999</v>
      </c>
      <c r="D265">
        <v>0.27400999999999998</v>
      </c>
      <c r="E265">
        <v>6.8733190000000004</v>
      </c>
      <c r="F265">
        <v>-2.9685E-2</v>
      </c>
      <c r="G265">
        <v>21.270004</v>
      </c>
      <c r="H265">
        <v>1.4767650000000001</v>
      </c>
      <c r="I265">
        <v>4.1780000000000003E-3</v>
      </c>
      <c r="J265">
        <v>3.5000000000000003E-2</v>
      </c>
      <c r="K265">
        <v>-0.23730000000000001</v>
      </c>
      <c r="L265">
        <v>13103776</v>
      </c>
      <c r="M265">
        <v>563812</v>
      </c>
      <c r="N265">
        <v>1.78E-2</v>
      </c>
      <c r="O265" s="6">
        <v>3.6999999999999998E-2</v>
      </c>
    </row>
    <row r="266" spans="1:15" x14ac:dyDescent="0.35">
      <c r="B266" t="s">
        <v>27</v>
      </c>
      <c r="C266">
        <v>4.2494999999999998E-2</v>
      </c>
      <c r="D266">
        <v>0.225082</v>
      </c>
      <c r="E266">
        <v>2.561032</v>
      </c>
      <c r="F266">
        <v>-3.5307999999999999E-2</v>
      </c>
      <c r="G266">
        <v>9.0599980000000002</v>
      </c>
      <c r="H266">
        <v>1.1544030000000001</v>
      </c>
      <c r="I266">
        <v>-2.8899999999999998E-4</v>
      </c>
      <c r="J266">
        <v>7.1999999999999998E-3</v>
      </c>
      <c r="K266">
        <v>0.92689999999999995</v>
      </c>
      <c r="L266">
        <v>1184885.3999999999</v>
      </c>
      <c r="M266">
        <v>7617250.7999999998</v>
      </c>
      <c r="N266">
        <v>1.12E-2</v>
      </c>
      <c r="O266" s="6">
        <v>-5.4000000000000003E-3</v>
      </c>
    </row>
    <row r="267" spans="1:15" x14ac:dyDescent="0.35">
      <c r="B267" t="s">
        <v>30</v>
      </c>
      <c r="C267">
        <v>5.3104999999999999E-2</v>
      </c>
      <c r="D267">
        <v>0.17815700000000001</v>
      </c>
      <c r="E267">
        <v>3.9409719999999999</v>
      </c>
      <c r="F267">
        <v>-3.8647000000000001E-2</v>
      </c>
      <c r="G267">
        <v>1.300001</v>
      </c>
      <c r="H267">
        <v>0.50507400000000002</v>
      </c>
      <c r="I267">
        <v>1.6590000000000001E-3</v>
      </c>
      <c r="J267">
        <v>1.06E-2</v>
      </c>
      <c r="K267">
        <v>-0.87390000000000001</v>
      </c>
      <c r="L267">
        <v>-3485245</v>
      </c>
      <c r="M267">
        <v>-7143750</v>
      </c>
      <c r="N267">
        <v>3.0999999999999999E-3</v>
      </c>
      <c r="O267" s="6">
        <v>2.1399999999999999E-2</v>
      </c>
    </row>
    <row r="268" spans="1:15" x14ac:dyDescent="0.35">
      <c r="B268" t="s">
        <v>28</v>
      </c>
      <c r="C268">
        <v>-2.8735E-2</v>
      </c>
      <c r="D268">
        <v>0.34326200000000001</v>
      </c>
      <c r="E268">
        <v>-0.96213800000000005</v>
      </c>
      <c r="F268">
        <v>-8.1652000000000002E-2</v>
      </c>
      <c r="G268">
        <v>-8.8609310000000008</v>
      </c>
      <c r="H268">
        <v>0.31606000000000001</v>
      </c>
      <c r="I268">
        <v>-2.016E-3</v>
      </c>
      <c r="J268">
        <v>-1.44E-2</v>
      </c>
      <c r="K268">
        <v>1.2931999999999999</v>
      </c>
      <c r="L268">
        <v>320718.2</v>
      </c>
      <c r="M268">
        <v>-1393783.6</v>
      </c>
      <c r="N268">
        <v>1.6999999999999999E-3</v>
      </c>
      <c r="O268" s="6">
        <v>-1.38E-2</v>
      </c>
    </row>
    <row r="269" spans="1:15" x14ac:dyDescent="0.35">
      <c r="B269" t="s">
        <v>49</v>
      </c>
      <c r="C269">
        <v>0.100005</v>
      </c>
      <c r="D269">
        <v>0.19675300000000001</v>
      </c>
      <c r="E269">
        <v>6.5343070000000001</v>
      </c>
      <c r="F269">
        <v>-2.3486E-2</v>
      </c>
      <c r="G269">
        <v>19.970001</v>
      </c>
      <c r="H269">
        <v>1.3686370000000001</v>
      </c>
      <c r="I269">
        <v>2.0470000000000002E-3</v>
      </c>
      <c r="J269">
        <v>2.4199999999999999E-2</v>
      </c>
      <c r="K269">
        <v>0.2303</v>
      </c>
      <c r="L269">
        <v>-258123.6</v>
      </c>
      <c r="M269">
        <v>556392.80000000005</v>
      </c>
      <c r="N269">
        <v>1.7399999999999999E-2</v>
      </c>
      <c r="O269" s="6">
        <v>2.93E-2</v>
      </c>
    </row>
    <row r="270" spans="1:15" x14ac:dyDescent="0.35">
      <c r="B270" t="s">
        <v>32</v>
      </c>
      <c r="C270">
        <v>2.1405E-2</v>
      </c>
      <c r="D270">
        <v>0.145708</v>
      </c>
      <c r="E270">
        <v>1.997806</v>
      </c>
      <c r="F270">
        <v>-2.7417E-2</v>
      </c>
      <c r="G270">
        <v>2.5475159999999999</v>
      </c>
      <c r="H270">
        <v>0.90298800000000001</v>
      </c>
      <c r="I270">
        <v>-8.5999999999999998E-4</v>
      </c>
      <c r="J270">
        <v>-3.3300000000000003E-2</v>
      </c>
      <c r="K270">
        <v>-0.93910000000000005</v>
      </c>
      <c r="L270">
        <v>-417240.6</v>
      </c>
      <c r="M270">
        <v>-774001.2</v>
      </c>
      <c r="N270">
        <v>-1.26E-2</v>
      </c>
      <c r="O270" s="6">
        <v>-1.2999999999999999E-2</v>
      </c>
    </row>
    <row r="271" spans="1:15" x14ac:dyDescent="0.35">
      <c r="B271" t="s">
        <v>26</v>
      </c>
      <c r="C271">
        <v>1.5219999999999999E-3</v>
      </c>
      <c r="D271">
        <v>0.26166600000000001</v>
      </c>
      <c r="E271">
        <v>0.20146</v>
      </c>
      <c r="F271">
        <v>-6.8565000000000001E-2</v>
      </c>
      <c r="G271">
        <v>0.26998899999999998</v>
      </c>
      <c r="H271">
        <v>1.136563</v>
      </c>
      <c r="I271">
        <v>-2.3270000000000001E-3</v>
      </c>
      <c r="J271">
        <v>3.7000000000000002E-3</v>
      </c>
      <c r="K271">
        <v>1.0609</v>
      </c>
      <c r="L271">
        <v>-1113280.2</v>
      </c>
      <c r="M271">
        <v>210739.6</v>
      </c>
      <c r="N271">
        <v>1.7399999999999999E-2</v>
      </c>
      <c r="O271" s="6">
        <v>4.7000000000000002E-3</v>
      </c>
    </row>
    <row r="272" spans="1:15" x14ac:dyDescent="0.35">
      <c r="B272" t="s">
        <v>33</v>
      </c>
      <c r="C272">
        <v>-9.8119999999999995E-3</v>
      </c>
      <c r="D272">
        <v>0.176285</v>
      </c>
      <c r="E272">
        <v>-0.65791599999999995</v>
      </c>
      <c r="F272">
        <v>-4.5193999999999998E-2</v>
      </c>
      <c r="G272">
        <v>-0.940002</v>
      </c>
      <c r="H272">
        <v>8.6951000000000001E-2</v>
      </c>
      <c r="I272">
        <v>-6.5399999999999996E-4</v>
      </c>
      <c r="J272">
        <v>-4.0300000000000002E-2</v>
      </c>
      <c r="K272">
        <v>0.27050000000000002</v>
      </c>
      <c r="L272">
        <v>-148941.6</v>
      </c>
      <c r="M272">
        <v>-3241743.2</v>
      </c>
      <c r="N272">
        <v>-2.18E-2</v>
      </c>
      <c r="O272" s="6">
        <v>-4.5199999999999997E-2</v>
      </c>
    </row>
    <row r="273" spans="1:15" x14ac:dyDescent="0.35">
      <c r="B273" t="s">
        <v>47</v>
      </c>
      <c r="C273">
        <v>9.7384999999999999E-2</v>
      </c>
      <c r="D273">
        <v>0.187856</v>
      </c>
      <c r="E273">
        <v>6.6662299999999997</v>
      </c>
      <c r="F273">
        <v>-2.3907000000000001E-2</v>
      </c>
      <c r="G273">
        <v>9.1369860000000003</v>
      </c>
      <c r="H273">
        <v>1.190321</v>
      </c>
      <c r="I273">
        <v>2.313E-3</v>
      </c>
      <c r="J273">
        <v>1.32E-2</v>
      </c>
      <c r="K273">
        <v>-1.2697000000000001</v>
      </c>
      <c r="L273">
        <v>109155.6</v>
      </c>
      <c r="M273">
        <v>-172688.8</v>
      </c>
      <c r="N273">
        <v>5.5999999999999999E-3</v>
      </c>
      <c r="O273" s="6">
        <v>4.1099999999999998E-2</v>
      </c>
    </row>
    <row r="274" spans="1:15" x14ac:dyDescent="0.35">
      <c r="B274" t="s">
        <v>46</v>
      </c>
      <c r="C274">
        <v>5.9188999999999999E-2</v>
      </c>
      <c r="D274">
        <v>0.17305400000000001</v>
      </c>
      <c r="E274">
        <v>4.4958629999999999</v>
      </c>
      <c r="F274">
        <v>-3.7252E-2</v>
      </c>
      <c r="G274">
        <v>4.2899929999999999</v>
      </c>
      <c r="H274">
        <v>1.0911379999999999</v>
      </c>
      <c r="I274">
        <v>6.5200000000000002E-4</v>
      </c>
      <c r="J274">
        <v>1.2800000000000001E-2</v>
      </c>
      <c r="K274">
        <v>-0.46970000000000001</v>
      </c>
      <c r="L274">
        <v>81124.2</v>
      </c>
      <c r="M274">
        <v>-122751.6</v>
      </c>
      <c r="N274">
        <v>1.1299999999999999E-2</v>
      </c>
      <c r="O274" s="6">
        <v>2.8500000000000001E-2</v>
      </c>
    </row>
    <row r="275" spans="1:15" x14ac:dyDescent="0.35">
      <c r="B275" t="s">
        <v>50</v>
      </c>
      <c r="C275">
        <v>0.136101</v>
      </c>
      <c r="D275">
        <v>0.229856</v>
      </c>
      <c r="E275">
        <v>7.4963490000000004</v>
      </c>
      <c r="F275">
        <v>-3.7475000000000001E-2</v>
      </c>
      <c r="G275">
        <v>84.950012000000001</v>
      </c>
      <c r="H275">
        <v>1.6497740000000001</v>
      </c>
      <c r="I275">
        <v>3.156E-3</v>
      </c>
      <c r="J275">
        <v>-2.5899999999999999E-2</v>
      </c>
      <c r="K275">
        <v>-5.5E-2</v>
      </c>
      <c r="L275">
        <v>-384734.2</v>
      </c>
      <c r="M275">
        <v>176111.6</v>
      </c>
      <c r="N275">
        <v>1.6999999999999999E-3</v>
      </c>
      <c r="O275" s="6">
        <v>-2.5000000000000001E-3</v>
      </c>
    </row>
    <row r="276" spans="1:15" x14ac:dyDescent="0.35">
      <c r="B276" t="s">
        <v>34</v>
      </c>
      <c r="C276">
        <v>-1.1037E-2</v>
      </c>
      <c r="D276">
        <v>0.18609300000000001</v>
      </c>
      <c r="E276">
        <v>-0.70268399999999998</v>
      </c>
      <c r="F276">
        <v>-5.8088000000000001E-2</v>
      </c>
      <c r="G276">
        <v>-3.329987</v>
      </c>
      <c r="H276">
        <v>0.436004</v>
      </c>
      <c r="I276">
        <v>-1.4920000000000001E-3</v>
      </c>
      <c r="J276">
        <v>1.9800000000000002E-2</v>
      </c>
      <c r="K276">
        <v>0.13489999999999999</v>
      </c>
      <c r="L276">
        <v>440889.59999999998</v>
      </c>
      <c r="M276">
        <v>-324160.8</v>
      </c>
      <c r="N276">
        <v>1.5599999999999999E-2</v>
      </c>
      <c r="O276" s="6">
        <v>1.66E-2</v>
      </c>
    </row>
    <row r="277" spans="1:15" x14ac:dyDescent="0.35">
      <c r="B277" t="s">
        <v>44</v>
      </c>
      <c r="C277">
        <v>7.9911999999999997E-2</v>
      </c>
      <c r="D277">
        <v>0.210505</v>
      </c>
      <c r="E277">
        <v>4.9539039999999996</v>
      </c>
      <c r="F277">
        <v>-4.4662E-2</v>
      </c>
      <c r="G277">
        <v>21.325652999999999</v>
      </c>
      <c r="H277">
        <v>1.2371209999999999</v>
      </c>
      <c r="I277">
        <v>1.377E-3</v>
      </c>
      <c r="J277">
        <v>-3.09E-2</v>
      </c>
      <c r="K277">
        <v>9.2299999999999993E-2</v>
      </c>
      <c r="L277">
        <v>-996545.8</v>
      </c>
      <c r="M277">
        <v>-910791.6</v>
      </c>
      <c r="N277">
        <v>8.9999999999999998E-4</v>
      </c>
      <c r="O277" s="6">
        <v>-1.29E-2</v>
      </c>
    </row>
    <row r="278" spans="1:15" x14ac:dyDescent="0.35">
      <c r="B278" t="s">
        <v>62</v>
      </c>
      <c r="C278">
        <v>-1.1450999999999999E-2</v>
      </c>
      <c r="D278">
        <v>0.150336</v>
      </c>
      <c r="E278">
        <v>-0.94418999999999997</v>
      </c>
      <c r="F278">
        <v>-2.8367E-2</v>
      </c>
      <c r="G278">
        <v>-0.48996699999999999</v>
      </c>
      <c r="H278">
        <v>0.82725599999999999</v>
      </c>
      <c r="I278">
        <v>-2.4090000000000001E-3</v>
      </c>
      <c r="J278">
        <v>-2.3300000000000001E-2</v>
      </c>
      <c r="K278">
        <v>0.7913</v>
      </c>
      <c r="L278">
        <v>218968.8</v>
      </c>
      <c r="M278">
        <v>146197.6</v>
      </c>
      <c r="N278">
        <v>-2.8999999999999998E-3</v>
      </c>
      <c r="O278" s="6">
        <v>-6.3E-3</v>
      </c>
    </row>
    <row r="279" spans="1:15" x14ac:dyDescent="0.35">
      <c r="B279" t="s">
        <v>63</v>
      </c>
      <c r="C279">
        <v>2.5174999999999999E-2</v>
      </c>
      <c r="D279">
        <v>0.24374699999999999</v>
      </c>
      <c r="E279">
        <v>1.469965</v>
      </c>
      <c r="F279">
        <v>-6.6117999999999996E-2</v>
      </c>
      <c r="G279">
        <v>30.709961</v>
      </c>
      <c r="H279">
        <v>1.2291000000000001</v>
      </c>
      <c r="I279">
        <v>-1.3209999999999999E-3</v>
      </c>
      <c r="J279">
        <v>-4.0099999999999997E-2</v>
      </c>
      <c r="K279">
        <v>0.29049999999999998</v>
      </c>
      <c r="L279">
        <v>413952.6</v>
      </c>
      <c r="M279">
        <v>-164754.79999999999</v>
      </c>
      <c r="N279">
        <v>-1.9400000000000001E-2</v>
      </c>
      <c r="O279" s="6">
        <v>-3.0300000000000001E-2</v>
      </c>
    </row>
    <row r="280" spans="1:15" x14ac:dyDescent="0.35">
      <c r="B280" t="s">
        <v>64</v>
      </c>
      <c r="C280">
        <v>2.9333999999999999E-2</v>
      </c>
      <c r="D280">
        <v>0.32393</v>
      </c>
      <c r="E280">
        <v>1.3401240000000001</v>
      </c>
      <c r="F280">
        <v>-8.3587999999999996E-2</v>
      </c>
      <c r="G280">
        <v>8.5599980000000002</v>
      </c>
      <c r="H280">
        <v>0.14876300000000001</v>
      </c>
      <c r="I280">
        <v>1.3910000000000001E-3</v>
      </c>
      <c r="J280">
        <v>-0.01</v>
      </c>
      <c r="K280">
        <v>-1.0952999999999999</v>
      </c>
      <c r="L280">
        <v>-67476.399999999994</v>
      </c>
      <c r="M280">
        <v>-116512.8</v>
      </c>
      <c r="N280">
        <v>-3.8999999999999998E-3</v>
      </c>
      <c r="O280" s="6">
        <v>2.53E-2</v>
      </c>
    </row>
    <row r="281" spans="1:15" x14ac:dyDescent="0.35">
      <c r="B281" t="s">
        <v>65</v>
      </c>
      <c r="C281">
        <v>3.0429000000000001E-2</v>
      </c>
      <c r="D281">
        <v>0.159496</v>
      </c>
      <c r="E281">
        <v>2.5698789999999998</v>
      </c>
      <c r="F281">
        <v>-2.1437000000000001E-2</v>
      </c>
      <c r="G281">
        <v>3.139999</v>
      </c>
      <c r="H281">
        <v>1.311963</v>
      </c>
      <c r="I281">
        <v>-1.3010000000000001E-3</v>
      </c>
      <c r="J281">
        <v>-8.0999999999999996E-3</v>
      </c>
      <c r="K281">
        <v>-0.50380000000000003</v>
      </c>
      <c r="L281">
        <v>-451360</v>
      </c>
      <c r="M281">
        <v>-1148860</v>
      </c>
      <c r="N281">
        <v>-1.6999999999999999E-3</v>
      </c>
      <c r="O281" s="6">
        <v>3.3E-3</v>
      </c>
    </row>
    <row r="282" spans="1:15" x14ac:dyDescent="0.35">
      <c r="B282" t="s">
        <v>66</v>
      </c>
      <c r="C282">
        <v>0.124442</v>
      </c>
      <c r="D282">
        <v>0.19522400000000001</v>
      </c>
      <c r="E282">
        <v>8.0850190000000008</v>
      </c>
      <c r="F282">
        <v>-1.7368000000000001E-2</v>
      </c>
      <c r="G282">
        <v>45.189971999999997</v>
      </c>
      <c r="H282">
        <v>1.4781930000000001</v>
      </c>
      <c r="I282">
        <v>2.9650000000000002E-3</v>
      </c>
      <c r="J282">
        <v>2.0299999999999999E-2</v>
      </c>
      <c r="K282">
        <v>-0.75039999999999996</v>
      </c>
      <c r="L282">
        <v>-50282.8</v>
      </c>
      <c r="M282">
        <v>-541985.6</v>
      </c>
      <c r="N282">
        <v>1.37E-2</v>
      </c>
      <c r="O282" s="6">
        <v>4.2999999999999997E-2</v>
      </c>
    </row>
    <row r="283" spans="1:15" x14ac:dyDescent="0.35">
      <c r="B283" t="s">
        <v>67</v>
      </c>
      <c r="C283">
        <v>0.111497</v>
      </c>
      <c r="D283">
        <v>0.16756299999999999</v>
      </c>
      <c r="E283">
        <v>8.469754</v>
      </c>
      <c r="F283">
        <v>-2.4282999999999999E-2</v>
      </c>
      <c r="G283">
        <v>110.750061</v>
      </c>
      <c r="H283">
        <v>1.326133</v>
      </c>
      <c r="I283">
        <v>2.6719999999999999E-3</v>
      </c>
      <c r="J283">
        <v>1.7999999999999999E-2</v>
      </c>
      <c r="K283">
        <v>-0.70909999999999995</v>
      </c>
      <c r="L283">
        <v>-29007.4</v>
      </c>
      <c r="M283">
        <v>29725.200000000001</v>
      </c>
      <c r="N283">
        <v>1.15E-2</v>
      </c>
      <c r="O283" s="6">
        <v>2.6100000000000002E-2</v>
      </c>
    </row>
    <row r="284" spans="1:15" x14ac:dyDescent="0.35">
      <c r="B284" t="s">
        <v>68</v>
      </c>
      <c r="C284">
        <v>2.6695E-2</v>
      </c>
      <c r="D284">
        <v>0.105475</v>
      </c>
      <c r="E284">
        <v>3.3649960000000001</v>
      </c>
      <c r="F284">
        <v>-1.1379E-2</v>
      </c>
      <c r="G284">
        <v>6.7100070000000001</v>
      </c>
      <c r="H284">
        <v>0.44747300000000001</v>
      </c>
      <c r="I284">
        <v>4.0999999999999999E-4</v>
      </c>
      <c r="J284">
        <v>-0.01</v>
      </c>
      <c r="K284">
        <v>-1.6979</v>
      </c>
      <c r="L284">
        <v>-57839.199999999997</v>
      </c>
      <c r="M284">
        <v>-34838.400000000001</v>
      </c>
      <c r="N284">
        <v>-7.4000000000000003E-3</v>
      </c>
      <c r="O284" s="6">
        <v>6.4999999999999997E-3</v>
      </c>
    </row>
    <row r="285" spans="1:15" x14ac:dyDescent="0.35">
      <c r="B285" t="s">
        <v>69</v>
      </c>
      <c r="C285">
        <v>4.8787999999999998E-2</v>
      </c>
      <c r="D285">
        <v>0.18199399999999999</v>
      </c>
      <c r="E285">
        <v>3.5616050000000001</v>
      </c>
      <c r="F285">
        <v>-4.5114000000000001E-2</v>
      </c>
      <c r="G285">
        <v>13.680968999999999</v>
      </c>
      <c r="H285">
        <v>1.0727059999999999</v>
      </c>
      <c r="I285">
        <v>1.7799999999999999E-4</v>
      </c>
      <c r="J285">
        <v>4.0000000000000002E-4</v>
      </c>
      <c r="K285">
        <v>-0.91969999999999996</v>
      </c>
      <c r="L285">
        <v>-42405.8</v>
      </c>
      <c r="M285">
        <v>-100671.6</v>
      </c>
      <c r="N285">
        <v>-1.2999999999999999E-3</v>
      </c>
      <c r="O285" s="6">
        <v>1.7600000000000001E-2</v>
      </c>
    </row>
    <row r="286" spans="1:15" x14ac:dyDescent="0.35">
      <c r="B286" t="s">
        <v>70</v>
      </c>
      <c r="C286">
        <v>3.8603999999999999E-2</v>
      </c>
      <c r="D286">
        <v>0.30166900000000002</v>
      </c>
      <c r="E286">
        <v>1.8102069999999999</v>
      </c>
      <c r="F286">
        <v>-5.9388000000000003E-2</v>
      </c>
      <c r="G286">
        <v>16.009827000000001</v>
      </c>
      <c r="H286">
        <v>1.216162</v>
      </c>
      <c r="I286">
        <v>-5.4699999999999996E-4</v>
      </c>
      <c r="J286">
        <v>1.29E-2</v>
      </c>
      <c r="K286">
        <v>0.35349999999999998</v>
      </c>
      <c r="L286">
        <v>33287</v>
      </c>
      <c r="M286">
        <v>-217626</v>
      </c>
      <c r="N286">
        <v>2.06E-2</v>
      </c>
      <c r="O286" s="6">
        <v>2.87E-2</v>
      </c>
    </row>
    <row r="288" spans="1:15" x14ac:dyDescent="0.35">
      <c r="A288" s="3"/>
      <c r="B288" s="3"/>
      <c r="C288" s="3"/>
      <c r="D288" s="3"/>
      <c r="E288" s="3"/>
      <c r="F288" s="3"/>
      <c r="G288" s="26" t="s">
        <v>114</v>
      </c>
      <c r="H288" s="3"/>
      <c r="I288" s="3"/>
      <c r="J288" s="3"/>
      <c r="K288" s="3"/>
      <c r="L288" s="3"/>
      <c r="M288" s="3"/>
      <c r="N288" s="3"/>
      <c r="O288" s="3"/>
    </row>
    <row r="290" spans="1:14" x14ac:dyDescent="0.35">
      <c r="A290" s="11" t="s">
        <v>76</v>
      </c>
    </row>
    <row r="291" spans="1:14" ht="29" x14ac:dyDescent="0.35">
      <c r="A291" s="1" t="s">
        <v>16</v>
      </c>
      <c r="B291" s="1" t="s">
        <v>12</v>
      </c>
      <c r="C291" s="1" t="s">
        <v>22</v>
      </c>
      <c r="D291" s="1" t="s">
        <v>3</v>
      </c>
      <c r="E291" s="1" t="s">
        <v>4</v>
      </c>
      <c r="F291" s="1" t="s">
        <v>7</v>
      </c>
      <c r="G291" s="1" t="s">
        <v>8</v>
      </c>
      <c r="H291" s="1" t="s">
        <v>5</v>
      </c>
      <c r="I291" s="1" t="s">
        <v>6</v>
      </c>
      <c r="J291" s="1" t="s">
        <v>17</v>
      </c>
      <c r="K291" s="1" t="s">
        <v>18</v>
      </c>
      <c r="L291" s="1" t="s">
        <v>19</v>
      </c>
      <c r="M291" s="1" t="s">
        <v>20</v>
      </c>
      <c r="N291" s="1" t="s">
        <v>21</v>
      </c>
    </row>
    <row r="292" spans="1:14" x14ac:dyDescent="0.35">
      <c r="A292" s="9" t="s">
        <v>15</v>
      </c>
      <c r="B292" t="s">
        <v>23</v>
      </c>
      <c r="C292">
        <v>6.4207E-2</v>
      </c>
      <c r="D292">
        <v>0.18029500000000001</v>
      </c>
      <c r="E292">
        <v>5.2103140000000003</v>
      </c>
      <c r="F292">
        <v>-1.6858000000000001E-2</v>
      </c>
      <c r="G292">
        <v>12.740005</v>
      </c>
      <c r="H292">
        <v>0.56830599999999998</v>
      </c>
      <c r="I292">
        <v>2.4849999999999998E-3</v>
      </c>
      <c r="J292">
        <v>-4.1000000000000003E-3</v>
      </c>
      <c r="K292">
        <v>-1.4499</v>
      </c>
      <c r="L292">
        <v>-5057222</v>
      </c>
      <c r="M292">
        <v>-7375524</v>
      </c>
      <c r="N292">
        <v>-7.9000000000000008E-3</v>
      </c>
    </row>
    <row r="293" spans="1:14" x14ac:dyDescent="0.35">
      <c r="B293" t="s">
        <v>24</v>
      </c>
      <c r="C293">
        <v>5.0465000000000003E-2</v>
      </c>
      <c r="D293">
        <v>0.129247</v>
      </c>
      <c r="E293">
        <v>5.7153419999999997</v>
      </c>
      <c r="F293">
        <v>-1.2784999999999999E-2</v>
      </c>
      <c r="G293">
        <v>24.179993</v>
      </c>
      <c r="H293">
        <v>0.90502899999999997</v>
      </c>
      <c r="I293">
        <v>9.5200000000000005E-4</v>
      </c>
      <c r="J293">
        <v>9.4000000000000004E-3</v>
      </c>
      <c r="K293">
        <v>-0.57099999999999995</v>
      </c>
      <c r="L293">
        <v>-1434293.6</v>
      </c>
      <c r="M293">
        <v>-5200147.2</v>
      </c>
      <c r="N293">
        <v>1.9E-3</v>
      </c>
    </row>
    <row r="294" spans="1:14" x14ac:dyDescent="0.35">
      <c r="B294" t="s">
        <v>25</v>
      </c>
      <c r="C294">
        <v>0.139816</v>
      </c>
      <c r="D294">
        <v>0.26221800000000001</v>
      </c>
      <c r="E294">
        <v>7.5492270000000001</v>
      </c>
      <c r="F294">
        <v>-2.9685E-2</v>
      </c>
      <c r="G294">
        <v>20.229996</v>
      </c>
      <c r="H294">
        <v>1.1773899999999999</v>
      </c>
      <c r="I294">
        <v>5.28E-3</v>
      </c>
      <c r="J294">
        <v>4.24E-2</v>
      </c>
      <c r="K294">
        <v>-1.3667</v>
      </c>
      <c r="L294">
        <v>-7045910.5999999996</v>
      </c>
      <c r="M294">
        <v>-43989321.200000003</v>
      </c>
      <c r="N294">
        <v>9.5999999999999992E-3</v>
      </c>
    </row>
    <row r="295" spans="1:14" x14ac:dyDescent="0.35">
      <c r="B295" t="s">
        <v>49</v>
      </c>
      <c r="C295">
        <v>0.110581</v>
      </c>
      <c r="D295">
        <v>0.160607</v>
      </c>
      <c r="E295">
        <v>9.7853980000000007</v>
      </c>
      <c r="F295">
        <v>-1.2082000000000001E-2</v>
      </c>
      <c r="G295">
        <v>22.029999</v>
      </c>
      <c r="H295">
        <v>0.95345199999999997</v>
      </c>
      <c r="I295">
        <v>4.1510000000000002E-3</v>
      </c>
      <c r="J295">
        <v>3.0200000000000001E-2</v>
      </c>
      <c r="K295">
        <v>-1.4307000000000001</v>
      </c>
      <c r="L295">
        <v>-944149.6</v>
      </c>
      <c r="M295">
        <v>-766959.2</v>
      </c>
      <c r="N295">
        <v>5.1000000000000004E-3</v>
      </c>
    </row>
    <row r="296" spans="1:14" x14ac:dyDescent="0.35">
      <c r="B296" t="s">
        <v>30</v>
      </c>
      <c r="C296">
        <v>5.1229999999999998E-2</v>
      </c>
      <c r="D296">
        <v>0.17265</v>
      </c>
      <c r="E296">
        <v>4.3762949999999998</v>
      </c>
      <c r="F296">
        <v>-2.1311E-2</v>
      </c>
      <c r="G296">
        <v>1.25</v>
      </c>
      <c r="H296">
        <v>0.48353099999999999</v>
      </c>
      <c r="I296">
        <v>1.941E-3</v>
      </c>
      <c r="J296">
        <v>0.01</v>
      </c>
      <c r="K296">
        <v>-0.9788</v>
      </c>
      <c r="L296">
        <v>-7723471.4000000004</v>
      </c>
      <c r="M296">
        <v>-5813642.7999999998</v>
      </c>
      <c r="N296">
        <v>-5.0000000000000001E-3</v>
      </c>
    </row>
    <row r="297" spans="1:14" x14ac:dyDescent="0.35">
      <c r="B297" t="s">
        <v>33</v>
      </c>
      <c r="C297">
        <v>1.1670000000000001E-3</v>
      </c>
      <c r="D297">
        <v>0.182946</v>
      </c>
      <c r="E297">
        <v>0.18088399999999999</v>
      </c>
      <c r="F297">
        <v>-4.9824E-2</v>
      </c>
      <c r="G297">
        <v>0.110001</v>
      </c>
      <c r="H297">
        <v>0.117962</v>
      </c>
      <c r="I297">
        <v>-1.27E-4</v>
      </c>
      <c r="J297">
        <v>-3.8100000000000002E-2</v>
      </c>
      <c r="K297">
        <v>1.5658000000000001</v>
      </c>
      <c r="L297">
        <v>-1956664.6</v>
      </c>
      <c r="M297">
        <v>-3574349.2</v>
      </c>
      <c r="N297">
        <v>-1.9E-3</v>
      </c>
    </row>
    <row r="298" spans="1:14" x14ac:dyDescent="0.35">
      <c r="B298" t="s">
        <v>32</v>
      </c>
      <c r="C298">
        <v>7.5420000000000001E-3</v>
      </c>
      <c r="D298">
        <v>0.152198</v>
      </c>
      <c r="E298">
        <v>0.80354300000000001</v>
      </c>
      <c r="F298">
        <v>-3.3383999999999997E-2</v>
      </c>
      <c r="G298">
        <v>0.89734599999999998</v>
      </c>
      <c r="H298">
        <v>1.0993489999999999</v>
      </c>
      <c r="I298">
        <v>-1.9189999999999999E-3</v>
      </c>
      <c r="J298">
        <v>-2.3199999999999998E-2</v>
      </c>
      <c r="K298">
        <v>0.94850000000000001</v>
      </c>
      <c r="L298">
        <v>-862945</v>
      </c>
      <c r="M298">
        <v>-1451450</v>
      </c>
      <c r="N298">
        <v>-4.4000000000000003E-3</v>
      </c>
    </row>
    <row r="299" spans="1:14" x14ac:dyDescent="0.35">
      <c r="B299" t="s">
        <v>44</v>
      </c>
      <c r="C299">
        <v>6.6141000000000005E-2</v>
      </c>
      <c r="D299">
        <v>0.205904</v>
      </c>
      <c r="E299">
        <v>4.717028</v>
      </c>
      <c r="F299">
        <v>-4.4662E-2</v>
      </c>
      <c r="G299">
        <v>17.796264999999998</v>
      </c>
      <c r="H299">
        <v>1.183125</v>
      </c>
      <c r="I299">
        <v>1.266E-3</v>
      </c>
      <c r="J299">
        <v>-1.0500000000000001E-2</v>
      </c>
      <c r="K299">
        <v>0.54930000000000001</v>
      </c>
      <c r="L299">
        <v>-2539438.6</v>
      </c>
      <c r="M299">
        <v>331082.8</v>
      </c>
      <c r="N299">
        <v>1.0200000000000001E-2</v>
      </c>
    </row>
    <row r="300" spans="1:14" x14ac:dyDescent="0.35">
      <c r="B300" t="s">
        <v>67</v>
      </c>
      <c r="C300">
        <v>0.12171899999999999</v>
      </c>
      <c r="D300">
        <v>0.14890999999999999</v>
      </c>
      <c r="E300">
        <v>11.542733999999999</v>
      </c>
      <c r="F300">
        <v>-1.3155E-2</v>
      </c>
      <c r="G300">
        <v>119.54003899999999</v>
      </c>
      <c r="H300">
        <v>1.322767</v>
      </c>
      <c r="I300">
        <v>3.9269999999999999E-3</v>
      </c>
      <c r="J300">
        <v>0.03</v>
      </c>
      <c r="K300">
        <v>1.8E-3</v>
      </c>
      <c r="L300">
        <v>-23103.4</v>
      </c>
      <c r="M300">
        <v>-97366.8</v>
      </c>
      <c r="N300">
        <v>1.1599999999999999E-2</v>
      </c>
    </row>
    <row r="301" spans="1:14" x14ac:dyDescent="0.35">
      <c r="B301" t="s">
        <v>47</v>
      </c>
      <c r="C301">
        <v>8.8617000000000001E-2</v>
      </c>
      <c r="D301">
        <v>0.18065999999999999</v>
      </c>
      <c r="E301">
        <v>7.0693359999999998</v>
      </c>
      <c r="F301">
        <v>-1.7486999999999999E-2</v>
      </c>
      <c r="G301">
        <v>8.2600020000000001</v>
      </c>
      <c r="H301">
        <v>1.115634</v>
      </c>
      <c r="I301">
        <v>2.6280000000000001E-3</v>
      </c>
      <c r="J301">
        <v>3.3300000000000003E-2</v>
      </c>
      <c r="K301">
        <v>4.1599999999999998E-2</v>
      </c>
      <c r="L301">
        <v>-68479.399999999994</v>
      </c>
      <c r="M301">
        <v>-430658.8</v>
      </c>
      <c r="N301">
        <v>6.1999999999999998E-3</v>
      </c>
    </row>
    <row r="302" spans="1:14" x14ac:dyDescent="0.35">
      <c r="B302" t="s">
        <v>26</v>
      </c>
      <c r="C302">
        <v>1.9347E-2</v>
      </c>
      <c r="D302">
        <v>0.27518300000000001</v>
      </c>
      <c r="E302">
        <v>1.162844</v>
      </c>
      <c r="F302">
        <v>-6.5508999999999998E-2</v>
      </c>
      <c r="G302">
        <v>3.4199980000000001</v>
      </c>
      <c r="H302">
        <v>1.1454850000000001</v>
      </c>
      <c r="I302">
        <v>-1.2359999999999999E-3</v>
      </c>
      <c r="J302">
        <v>2.4500000000000001E-2</v>
      </c>
      <c r="K302">
        <v>3.0200000000000001E-2</v>
      </c>
      <c r="L302">
        <v>-4841049.2</v>
      </c>
      <c r="M302">
        <v>-3211178.4</v>
      </c>
      <c r="N302">
        <v>1.77E-2</v>
      </c>
    </row>
    <row r="303" spans="1:14" x14ac:dyDescent="0.35">
      <c r="B303" t="s">
        <v>34</v>
      </c>
      <c r="C303">
        <v>1.2218E-2</v>
      </c>
      <c r="D303">
        <v>0.18221799999999999</v>
      </c>
      <c r="E303">
        <v>1.0738380000000001</v>
      </c>
      <c r="F303">
        <v>-3.6248000000000002E-2</v>
      </c>
      <c r="G303">
        <v>3.6199949999999999</v>
      </c>
      <c r="H303">
        <v>0.68176700000000001</v>
      </c>
      <c r="I303">
        <v>-7.1500000000000003E-4</v>
      </c>
      <c r="J303">
        <v>2.4899999999999999E-2</v>
      </c>
      <c r="K303">
        <v>-0.23649999999999999</v>
      </c>
      <c r="L303">
        <v>3237.6</v>
      </c>
      <c r="M303">
        <v>-1253664.8</v>
      </c>
      <c r="N303">
        <v>1.37E-2</v>
      </c>
    </row>
    <row r="304" spans="1:14" x14ac:dyDescent="0.35">
      <c r="B304" t="s">
        <v>68</v>
      </c>
      <c r="C304">
        <v>1.0807000000000001E-2</v>
      </c>
      <c r="D304">
        <v>0.112127</v>
      </c>
      <c r="E304">
        <v>1.4743440000000001</v>
      </c>
      <c r="F304">
        <v>-1.4220999999999999E-2</v>
      </c>
      <c r="G304">
        <v>2.7200009999999999</v>
      </c>
      <c r="H304">
        <v>0.34511500000000001</v>
      </c>
      <c r="I304">
        <v>-9.8999999999999994E-5</v>
      </c>
      <c r="J304">
        <v>-5.4999999999999997E-3</v>
      </c>
      <c r="K304">
        <v>0.46710000000000002</v>
      </c>
      <c r="L304">
        <v>-85824.6</v>
      </c>
      <c r="M304">
        <v>-130269.2</v>
      </c>
      <c r="N304">
        <v>-3.8999999999999998E-3</v>
      </c>
    </row>
    <row r="305" spans="1:15" x14ac:dyDescent="0.35">
      <c r="B305" t="s">
        <v>66</v>
      </c>
      <c r="C305">
        <v>0.119965</v>
      </c>
      <c r="D305">
        <v>0.19220000000000001</v>
      </c>
      <c r="E305">
        <v>8.8573360000000001</v>
      </c>
      <c r="F305">
        <v>-1.7368000000000001E-2</v>
      </c>
      <c r="G305">
        <v>43.480010999999998</v>
      </c>
      <c r="H305">
        <v>1.659421</v>
      </c>
      <c r="I305">
        <v>3.1259999999999999E-3</v>
      </c>
      <c r="J305">
        <v>3.32E-2</v>
      </c>
      <c r="K305">
        <v>-0.99609999999999999</v>
      </c>
      <c r="L305">
        <v>-276838.59999999998</v>
      </c>
      <c r="M305">
        <v>-651437.19999999995</v>
      </c>
      <c r="N305">
        <v>3.5999999999999999E-3</v>
      </c>
    </row>
    <row r="306" spans="1:15" x14ac:dyDescent="0.35">
      <c r="B306" t="s">
        <v>74</v>
      </c>
      <c r="C306">
        <v>9.0939000000000006E-2</v>
      </c>
      <c r="D306">
        <v>0.294464</v>
      </c>
      <c r="E306">
        <v>4.5314420000000002</v>
      </c>
      <c r="F306">
        <v>-3.9579000000000003E-2</v>
      </c>
      <c r="G306">
        <v>22.871979</v>
      </c>
      <c r="H306">
        <v>2.2499790000000002</v>
      </c>
      <c r="I306">
        <v>3.7300000000000001E-4</v>
      </c>
      <c r="J306">
        <v>9.4000000000000004E-3</v>
      </c>
      <c r="K306">
        <v>0.55449999999999999</v>
      </c>
      <c r="L306">
        <v>-2136311.4</v>
      </c>
      <c r="M306">
        <v>-3462602.8</v>
      </c>
      <c r="N306">
        <v>5.4999999999999997E-3</v>
      </c>
    </row>
    <row r="307" spans="1:15" x14ac:dyDescent="0.35">
      <c r="B307" t="s">
        <v>38</v>
      </c>
      <c r="C307">
        <v>-6.6011E-2</v>
      </c>
      <c r="D307">
        <v>0.29944300000000001</v>
      </c>
      <c r="E307">
        <v>-3.2319580000000001</v>
      </c>
      <c r="F307">
        <v>-0.101379</v>
      </c>
      <c r="G307">
        <v>-66.349975999999998</v>
      </c>
      <c r="H307">
        <v>1.6325430000000001</v>
      </c>
      <c r="I307">
        <v>-7.4120000000000002E-3</v>
      </c>
      <c r="J307">
        <v>-7.2400000000000006E-2</v>
      </c>
      <c r="K307">
        <v>1.6376999999999999</v>
      </c>
      <c r="L307">
        <v>-5824.4</v>
      </c>
      <c r="M307">
        <v>-597848.80000000005</v>
      </c>
      <c r="N307">
        <v>-2.1000000000000001E-2</v>
      </c>
    </row>
    <row r="308" spans="1:15" x14ac:dyDescent="0.35">
      <c r="B308" t="s">
        <v>63</v>
      </c>
      <c r="C308">
        <v>1.6126000000000001E-2</v>
      </c>
      <c r="D308">
        <v>0.25541700000000001</v>
      </c>
      <c r="E308">
        <v>1.049828</v>
      </c>
      <c r="F308">
        <v>-7.0209999999999995E-2</v>
      </c>
      <c r="G308">
        <v>19.760010000000001</v>
      </c>
      <c r="H308">
        <v>1.553933</v>
      </c>
      <c r="I308">
        <v>-2.3349999999999998E-3</v>
      </c>
      <c r="J308">
        <v>-1.7100000000000001E-2</v>
      </c>
      <c r="K308">
        <v>1.2885</v>
      </c>
      <c r="L308">
        <v>-153245</v>
      </c>
      <c r="M308">
        <v>-1070550</v>
      </c>
      <c r="N308">
        <v>1.6999999999999999E-3</v>
      </c>
    </row>
    <row r="309" spans="1:15" x14ac:dyDescent="0.35">
      <c r="B309" t="s">
        <v>75</v>
      </c>
      <c r="C309">
        <v>6.4209999999999996E-3</v>
      </c>
      <c r="D309">
        <v>0.29824400000000001</v>
      </c>
      <c r="E309">
        <v>0.45814199999999999</v>
      </c>
      <c r="F309">
        <v>-6.8062999999999999E-2</v>
      </c>
      <c r="G309">
        <v>0.61000100000000002</v>
      </c>
      <c r="H309">
        <v>-0.96836900000000004</v>
      </c>
      <c r="I309">
        <v>2.66E-3</v>
      </c>
      <c r="J309">
        <v>1.7500000000000002E-2</v>
      </c>
      <c r="K309">
        <v>-1.0318000000000001</v>
      </c>
      <c r="L309">
        <v>-2112941.7999999998</v>
      </c>
      <c r="M309">
        <v>850176.4</v>
      </c>
      <c r="N309">
        <v>-9.7000000000000003E-3</v>
      </c>
    </row>
    <row r="310" spans="1:15" x14ac:dyDescent="0.35">
      <c r="B310" t="s">
        <v>65</v>
      </c>
      <c r="C310">
        <v>1.3016E-2</v>
      </c>
      <c r="D310">
        <v>0.125689</v>
      </c>
      <c r="E310">
        <v>1.5847420000000001</v>
      </c>
      <c r="F310">
        <v>-2.1437000000000001E-2</v>
      </c>
      <c r="G310">
        <v>1.360001</v>
      </c>
      <c r="H310">
        <v>1.1262779999999999</v>
      </c>
      <c r="I310">
        <v>-1.673E-3</v>
      </c>
      <c r="J310">
        <v>4.4000000000000003E-3</v>
      </c>
      <c r="K310">
        <v>0.83909999999999996</v>
      </c>
      <c r="L310">
        <v>-1344182.4</v>
      </c>
      <c r="M310">
        <v>-121944.8</v>
      </c>
      <c r="N310">
        <v>3.0999999999999999E-3</v>
      </c>
    </row>
    <row r="311" spans="1:15" x14ac:dyDescent="0.35">
      <c r="B311" t="s">
        <v>46</v>
      </c>
      <c r="C311">
        <v>7.8547000000000006E-2</v>
      </c>
      <c r="D311">
        <v>0.162575</v>
      </c>
      <c r="E311">
        <v>6.9864430000000004</v>
      </c>
      <c r="F311">
        <v>-1.7736999999999999E-2</v>
      </c>
      <c r="G311">
        <v>5.5800020000000004</v>
      </c>
      <c r="H311">
        <v>1.1430389999999999</v>
      </c>
      <c r="I311">
        <v>2.0070000000000001E-3</v>
      </c>
      <c r="J311">
        <v>2.4799999999999999E-2</v>
      </c>
      <c r="K311">
        <v>-1.0309999999999999</v>
      </c>
      <c r="L311">
        <v>-725345</v>
      </c>
      <c r="M311">
        <v>-898250</v>
      </c>
      <c r="N311">
        <v>4.7000000000000002E-3</v>
      </c>
    </row>
    <row r="315" spans="1:15" ht="29" x14ac:dyDescent="0.35">
      <c r="A315" s="1" t="s">
        <v>16</v>
      </c>
      <c r="B315" s="1" t="s">
        <v>12</v>
      </c>
      <c r="C315" s="1" t="s">
        <v>22</v>
      </c>
      <c r="D315" s="1" t="s">
        <v>3</v>
      </c>
      <c r="E315" s="1" t="s">
        <v>4</v>
      </c>
      <c r="F315" s="1" t="s">
        <v>7</v>
      </c>
      <c r="G315" s="1" t="s">
        <v>8</v>
      </c>
      <c r="H315" s="1" t="s">
        <v>5</v>
      </c>
      <c r="I315" s="1" t="s">
        <v>6</v>
      </c>
      <c r="J315" s="1" t="s">
        <v>17</v>
      </c>
      <c r="K315" s="1" t="s">
        <v>18</v>
      </c>
      <c r="L315" s="1" t="s">
        <v>19</v>
      </c>
      <c r="M315" s="1" t="s">
        <v>20</v>
      </c>
      <c r="N315" s="1" t="s">
        <v>21</v>
      </c>
      <c r="O315" s="1" t="s">
        <v>57</v>
      </c>
    </row>
    <row r="316" spans="1:15" x14ac:dyDescent="0.35">
      <c r="A316" s="9" t="s">
        <v>14</v>
      </c>
      <c r="B316" t="s">
        <v>23</v>
      </c>
      <c r="C316">
        <v>5.0646999999999998E-2</v>
      </c>
      <c r="D316">
        <v>0.15191499999999999</v>
      </c>
      <c r="E316">
        <v>4.3907720000000001</v>
      </c>
      <c r="F316">
        <v>-2.3085999999999999E-2</v>
      </c>
      <c r="G316">
        <v>10.179993</v>
      </c>
      <c r="H316">
        <v>0.492508</v>
      </c>
      <c r="I316">
        <v>1.248E-3</v>
      </c>
      <c r="J316">
        <v>1E-4</v>
      </c>
      <c r="K316">
        <v>0.85360000000000003</v>
      </c>
      <c r="L316">
        <v>2597060</v>
      </c>
      <c r="M316">
        <v>-1381520</v>
      </c>
      <c r="N316">
        <v>6.4999999999999997E-3</v>
      </c>
      <c r="O316" s="6">
        <v>1.23E-2</v>
      </c>
    </row>
    <row r="317" spans="1:15" x14ac:dyDescent="0.35">
      <c r="B317" t="s">
        <v>24</v>
      </c>
      <c r="C317">
        <v>6.8390999999999993E-2</v>
      </c>
      <c r="D317">
        <v>0.123917</v>
      </c>
      <c r="E317">
        <v>7.151402</v>
      </c>
      <c r="F317">
        <v>-1.2784999999999999E-2</v>
      </c>
      <c r="G317">
        <v>32.649994</v>
      </c>
      <c r="H317">
        <v>0.92877900000000002</v>
      </c>
      <c r="I317">
        <v>8.7900000000000001E-4</v>
      </c>
      <c r="J317">
        <v>1.34E-2</v>
      </c>
      <c r="K317">
        <v>-1.0746</v>
      </c>
      <c r="L317">
        <v>2086510</v>
      </c>
      <c r="M317">
        <v>861000</v>
      </c>
      <c r="N317">
        <v>5.4999999999999997E-3</v>
      </c>
      <c r="O317" s="6">
        <v>1.4E-2</v>
      </c>
    </row>
    <row r="318" spans="1:15" x14ac:dyDescent="0.35">
      <c r="B318" t="s">
        <v>25</v>
      </c>
      <c r="C318">
        <v>0.19853999999999999</v>
      </c>
      <c r="D318">
        <v>0.26901799999999998</v>
      </c>
      <c r="E318">
        <v>9.0976909999999993</v>
      </c>
      <c r="F318">
        <v>-2.9685E-2</v>
      </c>
      <c r="G318">
        <v>28.559998</v>
      </c>
      <c r="H318">
        <v>0.54465600000000003</v>
      </c>
      <c r="I318">
        <v>8.1650000000000004E-3</v>
      </c>
      <c r="J318">
        <v>4.5400000000000003E-2</v>
      </c>
      <c r="K318">
        <v>-0.754</v>
      </c>
      <c r="L318">
        <v>-5152270</v>
      </c>
      <c r="M318">
        <v>-10264540</v>
      </c>
      <c r="N318">
        <v>1.23E-2</v>
      </c>
      <c r="O318" s="6">
        <v>5.0799999999999998E-2</v>
      </c>
    </row>
    <row r="319" spans="1:15" x14ac:dyDescent="0.35">
      <c r="B319" t="s">
        <v>49</v>
      </c>
      <c r="C319">
        <v>9.2936000000000005E-2</v>
      </c>
      <c r="D319">
        <v>0.16531299999999999</v>
      </c>
      <c r="E319">
        <v>7.2244060000000001</v>
      </c>
      <c r="F319">
        <v>-2.1062000000000001E-2</v>
      </c>
      <c r="G319">
        <v>18.419998</v>
      </c>
      <c r="H319">
        <v>0.93867199999999995</v>
      </c>
      <c r="I319">
        <v>2.0739999999999999E-3</v>
      </c>
      <c r="J319">
        <v>-2.0899999999999998E-2</v>
      </c>
      <c r="K319">
        <v>1.2392000000000001</v>
      </c>
      <c r="L319">
        <v>15340</v>
      </c>
      <c r="M319">
        <v>-487460</v>
      </c>
      <c r="N319">
        <v>-4.7000000000000002E-3</v>
      </c>
      <c r="O319" s="6">
        <v>-1.5599999999999999E-2</v>
      </c>
    </row>
    <row r="320" spans="1:15" x14ac:dyDescent="0.35">
      <c r="B320" t="s">
        <v>30</v>
      </c>
      <c r="C320">
        <v>2.0858999999999999E-2</v>
      </c>
      <c r="D320">
        <v>0.19522600000000001</v>
      </c>
      <c r="E320">
        <v>1.4955670000000001</v>
      </c>
      <c r="F320">
        <v>-5.0814999999999999E-2</v>
      </c>
      <c r="G320">
        <v>0.5</v>
      </c>
      <c r="H320">
        <v>0.60617799999999999</v>
      </c>
      <c r="I320">
        <v>-5.6300000000000002E-4</v>
      </c>
      <c r="J320">
        <v>-4.5999999999999999E-2</v>
      </c>
      <c r="K320">
        <v>0.45090000000000002</v>
      </c>
      <c r="L320">
        <v>1368990</v>
      </c>
      <c r="M320">
        <v>-8099600</v>
      </c>
      <c r="N320">
        <v>-1.03E-2</v>
      </c>
      <c r="O320" s="6">
        <v>-3.4700000000000002E-2</v>
      </c>
    </row>
    <row r="321" spans="2:16" x14ac:dyDescent="0.35">
      <c r="B321" t="s">
        <v>33</v>
      </c>
      <c r="C321">
        <v>-1.1132E-2</v>
      </c>
      <c r="D321">
        <v>0.173904</v>
      </c>
      <c r="E321">
        <v>-0.77091500000000002</v>
      </c>
      <c r="F321">
        <v>-4.9824E-2</v>
      </c>
      <c r="G321">
        <v>-1.07</v>
      </c>
      <c r="H321">
        <v>0.32372099999999998</v>
      </c>
      <c r="I321">
        <v>-1.451E-3</v>
      </c>
      <c r="J321">
        <v>6.8999999999999999E-3</v>
      </c>
      <c r="K321">
        <v>-0.26929999999999998</v>
      </c>
      <c r="L321">
        <v>242070</v>
      </c>
      <c r="M321">
        <v>1906380</v>
      </c>
      <c r="N321">
        <v>-2.5000000000000001E-3</v>
      </c>
      <c r="O321" s="6">
        <v>-7.6E-3</v>
      </c>
      <c r="P321" s="20"/>
    </row>
    <row r="322" spans="2:16" x14ac:dyDescent="0.35">
      <c r="B322" t="s">
        <v>32</v>
      </c>
      <c r="C322">
        <v>3.6621000000000001E-2</v>
      </c>
      <c r="D322">
        <v>0.159828</v>
      </c>
      <c r="E322">
        <v>3.0630090000000001</v>
      </c>
      <c r="F322">
        <v>-4.0561E-2</v>
      </c>
      <c r="G322">
        <v>4.2894899999999998</v>
      </c>
      <c r="H322">
        <v>1.2703949999999999</v>
      </c>
      <c r="I322">
        <v>-1.665E-3</v>
      </c>
      <c r="J322">
        <v>1.29E-2</v>
      </c>
      <c r="K322">
        <v>-0.88800000000000001</v>
      </c>
      <c r="L322">
        <v>725450</v>
      </c>
      <c r="M322">
        <v>-158120</v>
      </c>
      <c r="N322">
        <v>7.7999999999999996E-3</v>
      </c>
      <c r="O322" s="6">
        <v>1.21E-2</v>
      </c>
    </row>
    <row r="323" spans="2:16" x14ac:dyDescent="0.35">
      <c r="B323" t="s">
        <v>44</v>
      </c>
      <c r="C323">
        <v>6.4266000000000004E-2</v>
      </c>
      <c r="D323">
        <v>0.196714</v>
      </c>
      <c r="E323">
        <v>4.3001569999999996</v>
      </c>
      <c r="F323">
        <v>-4.4662E-2</v>
      </c>
      <c r="G323">
        <v>17.588501000000001</v>
      </c>
      <c r="H323">
        <v>1.545337</v>
      </c>
      <c r="I323">
        <v>-1.0319999999999999E-3</v>
      </c>
      <c r="J323">
        <v>1.54E-2</v>
      </c>
      <c r="K323">
        <v>0.21870000000000001</v>
      </c>
      <c r="L323">
        <v>225500</v>
      </c>
      <c r="M323">
        <v>1302500</v>
      </c>
      <c r="N323">
        <v>9.7999999999999997E-3</v>
      </c>
      <c r="O323" s="6">
        <v>8.8999999999999999E-3</v>
      </c>
    </row>
    <row r="324" spans="2:16" x14ac:dyDescent="0.35">
      <c r="B324" t="s">
        <v>67</v>
      </c>
      <c r="C324">
        <v>0.13253799999999999</v>
      </c>
      <c r="D324">
        <v>0.29467900000000002</v>
      </c>
      <c r="E324">
        <v>5.7628570000000003</v>
      </c>
      <c r="F324">
        <v>-5.8750999999999998E-2</v>
      </c>
      <c r="G324">
        <v>129.14996300000001</v>
      </c>
      <c r="H324">
        <v>2.1278109999999999</v>
      </c>
      <c r="I324">
        <v>6.96E-4</v>
      </c>
      <c r="J324">
        <v>1.8E-3</v>
      </c>
      <c r="K324">
        <v>-7.7799999999999994E-2</v>
      </c>
      <c r="L324">
        <v>-10480</v>
      </c>
      <c r="M324">
        <v>-222800</v>
      </c>
      <c r="N324">
        <v>1.2699999999999999E-2</v>
      </c>
      <c r="O324" s="6">
        <v>-7.1000000000000004E-3</v>
      </c>
    </row>
    <row r="325" spans="2:16" x14ac:dyDescent="0.35">
      <c r="B325" t="s">
        <v>47</v>
      </c>
      <c r="C325">
        <v>0.13474900000000001</v>
      </c>
      <c r="D325">
        <v>0.21018100000000001</v>
      </c>
      <c r="E325">
        <v>8.1026039999999995</v>
      </c>
      <c r="F325">
        <v>-2.2630000000000001E-2</v>
      </c>
      <c r="G325">
        <v>12.559998</v>
      </c>
      <c r="H325">
        <v>1.4092469999999999</v>
      </c>
      <c r="I325">
        <v>2.7560000000000002E-3</v>
      </c>
      <c r="J325">
        <v>4.24E-2</v>
      </c>
      <c r="K325">
        <v>-0.8034</v>
      </c>
      <c r="L325">
        <v>699130</v>
      </c>
      <c r="M325">
        <v>928680</v>
      </c>
      <c r="N325">
        <v>2.07E-2</v>
      </c>
      <c r="O325" s="6">
        <v>3.4299999999999997E-2</v>
      </c>
    </row>
    <row r="326" spans="2:16" x14ac:dyDescent="0.35">
      <c r="B326" t="s">
        <v>26</v>
      </c>
      <c r="C326">
        <v>0.110538</v>
      </c>
      <c r="D326">
        <v>0.193578</v>
      </c>
      <c r="E326">
        <v>7.2946410000000004</v>
      </c>
      <c r="F326">
        <v>-2.8797E-2</v>
      </c>
      <c r="G326">
        <v>18.419998</v>
      </c>
      <c r="H326">
        <v>0.60075500000000004</v>
      </c>
      <c r="I326">
        <v>3.898E-3</v>
      </c>
      <c r="J326">
        <v>2.7E-2</v>
      </c>
      <c r="K326">
        <v>1.2111000000000001</v>
      </c>
      <c r="L326">
        <v>140330</v>
      </c>
      <c r="M326">
        <v>675880</v>
      </c>
      <c r="N326">
        <v>1.11E-2</v>
      </c>
      <c r="O326" s="6">
        <v>1.9300000000000001E-2</v>
      </c>
    </row>
    <row r="327" spans="2:16" x14ac:dyDescent="0.35">
      <c r="B327" t="s">
        <v>34</v>
      </c>
      <c r="C327">
        <v>3.3431000000000002E-2</v>
      </c>
      <c r="D327">
        <v>0.166792</v>
      </c>
      <c r="E327">
        <v>2.6960449999999998</v>
      </c>
      <c r="F327">
        <v>-2.0310999999999999E-2</v>
      </c>
      <c r="G327">
        <v>9.6100159999999999</v>
      </c>
      <c r="H327">
        <v>0.50573400000000002</v>
      </c>
      <c r="I327">
        <v>3.48E-4</v>
      </c>
      <c r="J327">
        <v>-9.4999999999999998E-3</v>
      </c>
      <c r="K327">
        <v>-1.3365</v>
      </c>
      <c r="L327">
        <v>-425670</v>
      </c>
      <c r="M327">
        <v>719160</v>
      </c>
      <c r="N327">
        <v>-8.3000000000000001E-3</v>
      </c>
      <c r="O327" s="6">
        <v>-1.5900000000000001E-2</v>
      </c>
    </row>
    <row r="328" spans="2:16" x14ac:dyDescent="0.35">
      <c r="B328" t="s">
        <v>68</v>
      </c>
      <c r="C328">
        <v>1.6714E-2</v>
      </c>
      <c r="D328">
        <v>0.110461</v>
      </c>
      <c r="E328">
        <v>2.0435319999999999</v>
      </c>
      <c r="F328">
        <v>-2.3481999999999999E-2</v>
      </c>
      <c r="G328">
        <v>4.2400209999999996</v>
      </c>
      <c r="H328">
        <v>0.53325299999999998</v>
      </c>
      <c r="I328">
        <v>-6.1899999999999998E-4</v>
      </c>
      <c r="J328">
        <v>1.38E-2</v>
      </c>
      <c r="K328">
        <v>0.4667</v>
      </c>
      <c r="L328">
        <v>-27930</v>
      </c>
      <c r="M328">
        <v>55920</v>
      </c>
      <c r="N328">
        <v>1.17E-2</v>
      </c>
      <c r="O328" s="6">
        <v>1.4999999999999999E-2</v>
      </c>
    </row>
    <row r="329" spans="2:16" x14ac:dyDescent="0.35">
      <c r="B329" t="s">
        <v>66</v>
      </c>
      <c r="C329">
        <v>0.147537</v>
      </c>
      <c r="D329">
        <v>0.189915</v>
      </c>
      <c r="E329">
        <v>9.7352539999999994</v>
      </c>
      <c r="F329">
        <v>-1.7368000000000001E-2</v>
      </c>
      <c r="G329">
        <v>53.190002</v>
      </c>
      <c r="H329">
        <v>1.759371</v>
      </c>
      <c r="I329">
        <v>2.3410000000000002E-3</v>
      </c>
      <c r="J329">
        <v>1.9199999999999998E-2</v>
      </c>
      <c r="K329">
        <v>-1.2899</v>
      </c>
      <c r="L329">
        <v>33590</v>
      </c>
      <c r="M329">
        <v>-116160</v>
      </c>
      <c r="N329">
        <v>6.6E-3</v>
      </c>
      <c r="O329" s="6">
        <v>1.9599999999999999E-2</v>
      </c>
    </row>
    <row r="330" spans="2:16" x14ac:dyDescent="0.35">
      <c r="B330" t="s">
        <v>74</v>
      </c>
      <c r="C330">
        <v>0.133405</v>
      </c>
      <c r="D330">
        <v>0.28610000000000002</v>
      </c>
      <c r="E330">
        <v>5.960102</v>
      </c>
      <c r="F330">
        <v>-3.9579000000000003E-2</v>
      </c>
      <c r="G330">
        <v>33.349991000000003</v>
      </c>
      <c r="H330">
        <v>2.198223</v>
      </c>
      <c r="I330">
        <v>5.2400000000000005E-4</v>
      </c>
      <c r="J330">
        <v>3.27E-2</v>
      </c>
      <c r="K330">
        <v>-1.4639</v>
      </c>
      <c r="L330">
        <v>545930</v>
      </c>
      <c r="M330">
        <v>-1508800</v>
      </c>
      <c r="N330">
        <v>6.7999999999999996E-3</v>
      </c>
      <c r="O330" s="6">
        <v>2.81E-2</v>
      </c>
    </row>
    <row r="331" spans="2:16" x14ac:dyDescent="0.35">
      <c r="B331" t="s">
        <v>38</v>
      </c>
      <c r="C331">
        <v>-8.2459999999999999E-3</v>
      </c>
      <c r="D331">
        <v>0.29293400000000003</v>
      </c>
      <c r="E331">
        <v>-0.23508499999999999</v>
      </c>
      <c r="F331">
        <v>-0.101379</v>
      </c>
      <c r="G331">
        <v>-8.0099490000000007</v>
      </c>
      <c r="H331">
        <v>1.6996389999999999</v>
      </c>
      <c r="I331">
        <v>-5.1000000000000004E-3</v>
      </c>
      <c r="J331">
        <v>2.6200000000000001E-2</v>
      </c>
      <c r="K331">
        <v>-7.0800000000000002E-2</v>
      </c>
      <c r="L331">
        <v>-130250</v>
      </c>
      <c r="M331">
        <v>117480</v>
      </c>
      <c r="N331">
        <v>1.8E-3</v>
      </c>
      <c r="O331" s="6">
        <v>1.6999999999999999E-3</v>
      </c>
    </row>
    <row r="332" spans="2:16" x14ac:dyDescent="0.35">
      <c r="B332" t="s">
        <v>63</v>
      </c>
      <c r="C332">
        <v>-1.8003999999999999E-2</v>
      </c>
      <c r="D332">
        <v>0.31939000000000001</v>
      </c>
      <c r="E332">
        <v>-0.60068100000000002</v>
      </c>
      <c r="F332">
        <v>-9.6995999999999999E-2</v>
      </c>
      <c r="G332">
        <v>-22.170044000000001</v>
      </c>
      <c r="H332">
        <v>2.2475849999999999</v>
      </c>
      <c r="I332">
        <v>-7.1440000000000002E-3</v>
      </c>
      <c r="J332">
        <v>-2.8799999999999999E-2</v>
      </c>
      <c r="K332">
        <v>-1.8381000000000001</v>
      </c>
      <c r="L332">
        <v>1947140</v>
      </c>
      <c r="M332">
        <v>1595880</v>
      </c>
      <c r="N332">
        <v>-3.3500000000000002E-2</v>
      </c>
      <c r="O332" s="6">
        <v>-4.1799999999999997E-2</v>
      </c>
    </row>
    <row r="333" spans="2:16" x14ac:dyDescent="0.35">
      <c r="B333" t="s">
        <v>75</v>
      </c>
      <c r="C333">
        <v>-3.2210000000000003E-2</v>
      </c>
      <c r="D333">
        <v>0.29418</v>
      </c>
      <c r="E333">
        <v>-1.3360719999999999</v>
      </c>
      <c r="F333">
        <v>-6.0090999999999999E-2</v>
      </c>
      <c r="G333">
        <v>-3.0500029999999998</v>
      </c>
      <c r="H333">
        <v>-0.600526</v>
      </c>
      <c r="I333">
        <v>1.46E-4</v>
      </c>
      <c r="J333">
        <v>-4.1500000000000002E-2</v>
      </c>
      <c r="K333">
        <v>-0.36820000000000003</v>
      </c>
      <c r="L333">
        <v>567460</v>
      </c>
      <c r="M333">
        <v>1573540</v>
      </c>
      <c r="N333">
        <v>-9.7000000000000003E-3</v>
      </c>
      <c r="O333" s="6">
        <v>-2.69E-2</v>
      </c>
    </row>
    <row r="334" spans="2:16" x14ac:dyDescent="0.35">
      <c r="B334" t="s">
        <v>65</v>
      </c>
      <c r="C334">
        <v>6.5623000000000001E-2</v>
      </c>
      <c r="D334">
        <v>0.11883000000000001</v>
      </c>
      <c r="E334">
        <v>7.1621819999999996</v>
      </c>
      <c r="F334">
        <v>-1.1339E-2</v>
      </c>
      <c r="G334">
        <v>6.7099989999999998</v>
      </c>
      <c r="H334">
        <v>1.1381460000000001</v>
      </c>
      <c r="I334">
        <v>1.45E-4</v>
      </c>
      <c r="J334">
        <v>2.9399999999999999E-2</v>
      </c>
      <c r="K334">
        <v>-0.8397</v>
      </c>
      <c r="L334">
        <v>57130</v>
      </c>
      <c r="M334">
        <v>-240540</v>
      </c>
      <c r="N334">
        <v>1.3599999999999999E-2</v>
      </c>
      <c r="O334" s="6">
        <v>2.5399999999999999E-2</v>
      </c>
    </row>
    <row r="335" spans="2:16" x14ac:dyDescent="0.35">
      <c r="B335" t="s">
        <v>46</v>
      </c>
      <c r="C335">
        <v>8.7413000000000005E-2</v>
      </c>
      <c r="D335">
        <v>0.16397100000000001</v>
      </c>
      <c r="E335">
        <v>6.8709340000000001</v>
      </c>
      <c r="F335">
        <v>-1.8106000000000001E-2</v>
      </c>
      <c r="G335">
        <v>6.1599959999999996</v>
      </c>
      <c r="H335">
        <v>1.305561</v>
      </c>
      <c r="I335">
        <v>7.6300000000000001E-4</v>
      </c>
      <c r="J335">
        <v>1E-4</v>
      </c>
      <c r="K335">
        <v>-0.34520000000000001</v>
      </c>
      <c r="L335">
        <v>451370</v>
      </c>
      <c r="M335">
        <v>529780</v>
      </c>
      <c r="N335">
        <v>5.7000000000000002E-3</v>
      </c>
      <c r="O335" s="6">
        <v>2.9999999999999997E-4</v>
      </c>
    </row>
    <row r="337" spans="1:15" x14ac:dyDescent="0.35">
      <c r="A337" s="3"/>
      <c r="B337" s="3"/>
      <c r="C337" s="3"/>
      <c r="D337" s="3"/>
      <c r="E337" s="3"/>
      <c r="F337" s="3"/>
      <c r="G337" s="3" t="s">
        <v>115</v>
      </c>
      <c r="H337" s="3"/>
      <c r="I337" s="3"/>
      <c r="J337" s="3"/>
      <c r="K337" s="3"/>
      <c r="L337" s="3"/>
      <c r="M337" s="3"/>
      <c r="N337" s="3"/>
      <c r="O337" s="3"/>
    </row>
    <row r="340" spans="1:15" x14ac:dyDescent="0.35">
      <c r="A340" s="11" t="s">
        <v>81</v>
      </c>
    </row>
    <row r="341" spans="1:15" ht="29" x14ac:dyDescent="0.35">
      <c r="A341" s="1" t="s">
        <v>16</v>
      </c>
      <c r="B341" s="1" t="s">
        <v>12</v>
      </c>
      <c r="C341" s="1" t="s">
        <v>22</v>
      </c>
      <c r="D341" s="1" t="s">
        <v>3</v>
      </c>
      <c r="E341" s="1" t="s">
        <v>4</v>
      </c>
      <c r="F341" s="1" t="s">
        <v>7</v>
      </c>
      <c r="G341" s="1" t="s">
        <v>8</v>
      </c>
      <c r="H341" s="1" t="s">
        <v>5</v>
      </c>
      <c r="I341" s="1" t="s">
        <v>6</v>
      </c>
      <c r="J341" s="1" t="s">
        <v>17</v>
      </c>
      <c r="K341" s="1" t="s">
        <v>18</v>
      </c>
      <c r="L341" s="1" t="s">
        <v>19</v>
      </c>
      <c r="M341" s="1" t="s">
        <v>20</v>
      </c>
      <c r="N341" s="1" t="s">
        <v>21</v>
      </c>
    </row>
    <row r="342" spans="1:15" x14ac:dyDescent="0.35">
      <c r="A342" s="9" t="s">
        <v>15</v>
      </c>
      <c r="B342" t="s">
        <v>23</v>
      </c>
      <c r="C342">
        <v>4.8039999999999999E-2</v>
      </c>
      <c r="D342">
        <v>0.15631800000000001</v>
      </c>
      <c r="E342">
        <v>4.281371</v>
      </c>
      <c r="F342">
        <v>-2.3085999999999999E-2</v>
      </c>
      <c r="G342">
        <v>9.6799929999999996</v>
      </c>
      <c r="H342">
        <v>0.55483700000000002</v>
      </c>
      <c r="I342">
        <v>1.289E-3</v>
      </c>
      <c r="J342">
        <v>2.2499999999999999E-2</v>
      </c>
      <c r="K342">
        <v>1.5778000000000001</v>
      </c>
      <c r="L342">
        <v>-728104.6</v>
      </c>
      <c r="M342">
        <v>-5557649.2000000002</v>
      </c>
      <c r="N342">
        <v>1.2200000000000001E-2</v>
      </c>
    </row>
    <row r="343" spans="1:15" x14ac:dyDescent="0.35">
      <c r="B343" t="s">
        <v>24</v>
      </c>
      <c r="C343">
        <v>4.9486000000000002E-2</v>
      </c>
      <c r="D343">
        <v>0.113885</v>
      </c>
      <c r="E343">
        <v>5.9991110000000001</v>
      </c>
      <c r="F343">
        <v>-1.2784999999999999E-2</v>
      </c>
      <c r="G343">
        <v>24.049987999999999</v>
      </c>
      <c r="H343">
        <v>0.78218799999999999</v>
      </c>
      <c r="I343">
        <v>7.8399999999999997E-4</v>
      </c>
      <c r="J343">
        <v>1.46E-2</v>
      </c>
      <c r="K343">
        <v>-0.43009999999999998</v>
      </c>
      <c r="L343">
        <v>-643905.6</v>
      </c>
      <c r="M343">
        <v>-5523271.2000000002</v>
      </c>
      <c r="N343">
        <v>3.2000000000000002E-3</v>
      </c>
    </row>
    <row r="344" spans="1:15" x14ac:dyDescent="0.35">
      <c r="B344" t="s">
        <v>25</v>
      </c>
      <c r="C344">
        <v>0.19588</v>
      </c>
      <c r="D344">
        <v>0.275229</v>
      </c>
      <c r="E344">
        <v>9.2732840000000003</v>
      </c>
      <c r="F344">
        <v>-2.9685E-2</v>
      </c>
      <c r="G344">
        <v>28.240005</v>
      </c>
      <c r="H344">
        <v>0.74408600000000003</v>
      </c>
      <c r="I344">
        <v>8.2950000000000003E-3</v>
      </c>
      <c r="J344">
        <v>5.1499999999999997E-2</v>
      </c>
      <c r="K344">
        <v>-0.60950000000000004</v>
      </c>
      <c r="L344">
        <v>-30841966.600000001</v>
      </c>
      <c r="M344">
        <v>-11373973.199999999</v>
      </c>
      <c r="N344">
        <v>3.0000000000000001E-3</v>
      </c>
    </row>
    <row r="345" spans="1:15" x14ac:dyDescent="0.35">
      <c r="B345" t="s">
        <v>30</v>
      </c>
      <c r="C345">
        <v>1.831E-2</v>
      </c>
      <c r="D345">
        <v>0.20081599999999999</v>
      </c>
      <c r="E345">
        <v>1.3602019999999999</v>
      </c>
      <c r="F345">
        <v>-5.0814999999999999E-2</v>
      </c>
      <c r="G345">
        <v>0.43999899999999997</v>
      </c>
      <c r="H345">
        <v>0.65539400000000003</v>
      </c>
      <c r="I345">
        <v>-5.31E-4</v>
      </c>
      <c r="J345">
        <v>-3.5099999999999999E-2</v>
      </c>
      <c r="K345">
        <v>0.59499999999999997</v>
      </c>
      <c r="L345">
        <v>-7844615.5999999996</v>
      </c>
      <c r="M345">
        <v>-5426571.2000000002</v>
      </c>
      <c r="N345">
        <v>-3.5000000000000001E-3</v>
      </c>
    </row>
    <row r="346" spans="1:15" x14ac:dyDescent="0.35">
      <c r="B346" t="s">
        <v>33</v>
      </c>
      <c r="C346">
        <v>-2.8813999999999999E-2</v>
      </c>
      <c r="D346">
        <v>0.16287299999999999</v>
      </c>
      <c r="E346">
        <v>-2.4338190000000002</v>
      </c>
      <c r="F346">
        <v>-4.9824E-2</v>
      </c>
      <c r="G346">
        <v>-2.82</v>
      </c>
      <c r="H346">
        <v>2.8358999999999999E-2</v>
      </c>
      <c r="I346">
        <v>-1.6429999999999999E-3</v>
      </c>
      <c r="J346">
        <v>2E-3</v>
      </c>
      <c r="K346">
        <v>1.9219999999999999</v>
      </c>
      <c r="L346">
        <v>-316200.8</v>
      </c>
      <c r="M346">
        <v>-3138001.6</v>
      </c>
      <c r="N346">
        <v>6.7000000000000002E-3</v>
      </c>
    </row>
    <row r="347" spans="1:15" x14ac:dyDescent="0.35">
      <c r="B347" t="s">
        <v>32</v>
      </c>
      <c r="C347">
        <v>3.5564999999999999E-2</v>
      </c>
      <c r="D347">
        <v>0.16442100000000001</v>
      </c>
      <c r="E347">
        <v>3.055993</v>
      </c>
      <c r="F347">
        <v>-4.0561E-2</v>
      </c>
      <c r="G347">
        <v>4.1699979999999996</v>
      </c>
      <c r="H347">
        <v>1.4402999999999999</v>
      </c>
      <c r="I347">
        <v>-1.555E-3</v>
      </c>
      <c r="J347">
        <v>1.14E-2</v>
      </c>
      <c r="K347">
        <v>-0.28970000000000001</v>
      </c>
      <c r="L347">
        <v>-717284.4</v>
      </c>
      <c r="M347">
        <v>-2996948.8</v>
      </c>
      <c r="N347">
        <v>4.8999999999999998E-3</v>
      </c>
    </row>
    <row r="348" spans="1:15" x14ac:dyDescent="0.35">
      <c r="B348" t="s">
        <v>47</v>
      </c>
      <c r="C348">
        <v>0.125332</v>
      </c>
      <c r="D348">
        <v>0.21618000000000001</v>
      </c>
      <c r="E348">
        <v>7.7734540000000001</v>
      </c>
      <c r="F348">
        <v>-2.2630000000000001E-2</v>
      </c>
      <c r="G348">
        <v>11.779999</v>
      </c>
      <c r="H348">
        <v>1.5507150000000001</v>
      </c>
      <c r="I348">
        <v>2.8479999999999998E-3</v>
      </c>
      <c r="J348">
        <v>3.1099999999999999E-2</v>
      </c>
      <c r="K348">
        <v>-0.50360000000000005</v>
      </c>
      <c r="L348">
        <v>91869.8</v>
      </c>
      <c r="M348">
        <v>-1832720.4</v>
      </c>
      <c r="N348">
        <v>1.14E-2</v>
      </c>
    </row>
    <row r="349" spans="1:15" x14ac:dyDescent="0.35">
      <c r="B349" t="s">
        <v>26</v>
      </c>
      <c r="C349">
        <v>0.120286</v>
      </c>
      <c r="D349">
        <v>0.19098399999999999</v>
      </c>
      <c r="E349">
        <v>8.4423359999999992</v>
      </c>
      <c r="F349">
        <v>-2.8797E-2</v>
      </c>
      <c r="G349">
        <v>19.869994999999999</v>
      </c>
      <c r="H349">
        <v>0.92864100000000005</v>
      </c>
      <c r="I349">
        <v>4.1099999999999999E-3</v>
      </c>
      <c r="J349" t="s">
        <v>82</v>
      </c>
      <c r="K349" t="s">
        <v>82</v>
      </c>
      <c r="L349" t="s">
        <v>82</v>
      </c>
      <c r="M349" t="s">
        <v>82</v>
      </c>
      <c r="N349" t="s">
        <v>82</v>
      </c>
    </row>
    <row r="350" spans="1:15" x14ac:dyDescent="0.35">
      <c r="B350" t="s">
        <v>66</v>
      </c>
      <c r="C350">
        <v>0.12964500000000001</v>
      </c>
      <c r="D350">
        <v>0.19250500000000001</v>
      </c>
      <c r="E350">
        <v>8.9859650000000002</v>
      </c>
      <c r="F350">
        <v>-1.7368000000000001E-2</v>
      </c>
      <c r="G350">
        <v>47.479979999999998</v>
      </c>
      <c r="H350">
        <v>1.8201240000000001</v>
      </c>
      <c r="I350">
        <v>2.3800000000000002E-3</v>
      </c>
      <c r="J350">
        <v>1.8200000000000001E-2</v>
      </c>
      <c r="K350">
        <v>-0.45179999999999998</v>
      </c>
      <c r="L350">
        <v>-313658</v>
      </c>
      <c r="M350">
        <v>-683596</v>
      </c>
      <c r="N350">
        <v>1.6000000000000001E-3</v>
      </c>
    </row>
    <row r="351" spans="1:15" x14ac:dyDescent="0.35">
      <c r="B351" t="s">
        <v>74</v>
      </c>
      <c r="C351">
        <v>0.116523</v>
      </c>
      <c r="D351">
        <v>0.29253299999999999</v>
      </c>
      <c r="E351">
        <v>5.4292129999999998</v>
      </c>
      <c r="F351">
        <v>-3.9579000000000003E-2</v>
      </c>
      <c r="G351">
        <v>29.569991999999999</v>
      </c>
      <c r="H351">
        <v>2.3146140000000002</v>
      </c>
      <c r="I351">
        <v>5.9999999999999995E-4</v>
      </c>
      <c r="J351">
        <v>4.6699999999999998E-2</v>
      </c>
      <c r="K351">
        <v>0.70340000000000003</v>
      </c>
      <c r="L351">
        <v>-1324667</v>
      </c>
      <c r="M351">
        <v>-1342814</v>
      </c>
      <c r="N351">
        <v>1.5800000000000002E-2</v>
      </c>
    </row>
    <row r="352" spans="1:15" x14ac:dyDescent="0.35">
      <c r="B352" t="s">
        <v>44</v>
      </c>
      <c r="C352">
        <v>5.176E-2</v>
      </c>
      <c r="D352">
        <v>0.19958200000000001</v>
      </c>
      <c r="E352">
        <v>3.639716</v>
      </c>
      <c r="F352">
        <v>-4.4662E-2</v>
      </c>
      <c r="G352">
        <v>14.334167000000001</v>
      </c>
      <c r="H352">
        <v>1.5796570000000001</v>
      </c>
      <c r="I352">
        <v>-1.0089999999999999E-3</v>
      </c>
      <c r="J352">
        <v>1.12E-2</v>
      </c>
      <c r="K352">
        <v>4.8999999999999998E-3</v>
      </c>
      <c r="L352">
        <v>-1541818.4</v>
      </c>
      <c r="M352">
        <v>-2603336.7999999998</v>
      </c>
      <c r="N352">
        <v>9.7999999999999997E-3</v>
      </c>
    </row>
    <row r="353" spans="1:15" x14ac:dyDescent="0.35">
      <c r="B353" t="s">
        <v>67</v>
      </c>
      <c r="C353">
        <v>0.118919</v>
      </c>
      <c r="D353">
        <v>0.30246000000000001</v>
      </c>
      <c r="E353">
        <v>5.3631650000000004</v>
      </c>
      <c r="F353">
        <v>-5.8750999999999998E-2</v>
      </c>
      <c r="G353">
        <v>117.289978</v>
      </c>
      <c r="H353">
        <v>2.2878479999999999</v>
      </c>
      <c r="I353">
        <v>8.0000000000000004E-4</v>
      </c>
      <c r="J353">
        <v>-6.1000000000000004E-3</v>
      </c>
      <c r="K353">
        <v>5.4199999999999998E-2</v>
      </c>
      <c r="L353">
        <v>-389677</v>
      </c>
      <c r="M353">
        <v>-164174</v>
      </c>
      <c r="N353">
        <v>1.4999999999999999E-2</v>
      </c>
    </row>
    <row r="354" spans="1:15" x14ac:dyDescent="0.35">
      <c r="B354" t="s">
        <v>46</v>
      </c>
      <c r="C354">
        <v>6.7568000000000003E-2</v>
      </c>
      <c r="D354">
        <v>0.15921399999999999</v>
      </c>
      <c r="E354">
        <v>5.8347519999999999</v>
      </c>
      <c r="F354">
        <v>-1.8106000000000001E-2</v>
      </c>
      <c r="G354">
        <v>4.8499980000000003</v>
      </c>
      <c r="H354">
        <v>1.211244</v>
      </c>
      <c r="I354">
        <v>7.0200000000000004E-4</v>
      </c>
      <c r="J354">
        <v>2.5999999999999999E-3</v>
      </c>
      <c r="K354">
        <v>0.15179999999999999</v>
      </c>
      <c r="L354">
        <v>-141894.39999999999</v>
      </c>
      <c r="M354">
        <v>-1056488.8</v>
      </c>
      <c r="N354">
        <v>7.4999999999999997E-3</v>
      </c>
    </row>
    <row r="355" spans="1:15" x14ac:dyDescent="0.35">
      <c r="B355" t="s">
        <v>49</v>
      </c>
      <c r="C355">
        <v>7.5623999999999997E-2</v>
      </c>
      <c r="D355">
        <v>0.16406799999999999</v>
      </c>
      <c r="E355">
        <v>6.3102530000000003</v>
      </c>
      <c r="F355">
        <v>-2.1062000000000001E-2</v>
      </c>
      <c r="G355">
        <v>15.229996</v>
      </c>
      <c r="H355">
        <v>0.84935899999999998</v>
      </c>
      <c r="I355">
        <v>2.016E-3</v>
      </c>
      <c r="J355">
        <v>-1.8499999999999999E-2</v>
      </c>
      <c r="K355">
        <v>0.22009999999999999</v>
      </c>
      <c r="L355">
        <v>-559043.19999999995</v>
      </c>
      <c r="M355">
        <v>-896166.40000000002</v>
      </c>
      <c r="N355">
        <v>-4.0000000000000001E-3</v>
      </c>
    </row>
    <row r="356" spans="1:15" x14ac:dyDescent="0.35">
      <c r="B356" t="s">
        <v>65</v>
      </c>
      <c r="C356">
        <v>5.4281999999999997E-2</v>
      </c>
      <c r="D356">
        <v>0.118738</v>
      </c>
      <c r="E356">
        <v>6.2974779999999999</v>
      </c>
      <c r="F356">
        <v>-1.1339E-2</v>
      </c>
      <c r="G356">
        <v>5.6100009999999996</v>
      </c>
      <c r="H356">
        <v>1.143875</v>
      </c>
      <c r="I356">
        <v>1.4899999999999999E-4</v>
      </c>
      <c r="J356">
        <v>2.6200000000000001E-2</v>
      </c>
      <c r="K356">
        <v>-0.62719999999999998</v>
      </c>
      <c r="L356">
        <v>-415054.8</v>
      </c>
      <c r="M356">
        <v>-935449.59999999998</v>
      </c>
      <c r="N356">
        <v>9.1999999999999998E-3</v>
      </c>
    </row>
    <row r="357" spans="1:15" x14ac:dyDescent="0.35">
      <c r="B357" t="s">
        <v>34</v>
      </c>
      <c r="C357">
        <v>2.6078E-2</v>
      </c>
      <c r="D357">
        <v>0.17030200000000001</v>
      </c>
      <c r="E357">
        <v>2.1980590000000002</v>
      </c>
      <c r="F357">
        <v>-2.0310999999999999E-2</v>
      </c>
      <c r="G357">
        <v>7.5500179999999997</v>
      </c>
      <c r="H357">
        <v>0.47075699999999998</v>
      </c>
      <c r="I357">
        <v>3.2600000000000001E-4</v>
      </c>
      <c r="J357">
        <v>-1.2999999999999999E-2</v>
      </c>
      <c r="K357">
        <v>0.92779999999999996</v>
      </c>
      <c r="L357">
        <v>-177525.2</v>
      </c>
      <c r="M357">
        <v>-746890.4</v>
      </c>
      <c r="N357">
        <v>-2.7000000000000001E-3</v>
      </c>
    </row>
    <row r="358" spans="1:15" x14ac:dyDescent="0.35">
      <c r="B358" t="s">
        <v>68</v>
      </c>
      <c r="C358">
        <v>1.3358999999999999E-2</v>
      </c>
      <c r="D358">
        <v>0.113261</v>
      </c>
      <c r="E358">
        <v>1.694428</v>
      </c>
      <c r="F358">
        <v>-2.3481999999999999E-2</v>
      </c>
      <c r="G358">
        <v>3.4000089999999998</v>
      </c>
      <c r="H358">
        <v>0.55454400000000004</v>
      </c>
      <c r="I358">
        <v>-6.0499999999999996E-4</v>
      </c>
      <c r="J358">
        <v>2.9700000000000001E-2</v>
      </c>
      <c r="K358">
        <v>1.1281000000000001</v>
      </c>
      <c r="L358">
        <v>-127314.6</v>
      </c>
      <c r="M358">
        <v>-173769.2</v>
      </c>
      <c r="N358">
        <v>2.0299999999999999E-2</v>
      </c>
    </row>
    <row r="359" spans="1:15" x14ac:dyDescent="0.35">
      <c r="B359" t="s">
        <v>79</v>
      </c>
      <c r="C359">
        <v>-3.2228E-2</v>
      </c>
      <c r="D359">
        <v>0.337366</v>
      </c>
      <c r="E359">
        <v>-1.197478</v>
      </c>
      <c r="F359">
        <v>-8.6111999999999994E-2</v>
      </c>
      <c r="G359">
        <v>-15.850006</v>
      </c>
      <c r="H359">
        <v>1.583434</v>
      </c>
      <c r="I359">
        <v>-5.5040000000000002E-3</v>
      </c>
      <c r="J359">
        <v>4.4999999999999997E-3</v>
      </c>
      <c r="K359">
        <v>0.55189999999999995</v>
      </c>
      <c r="L359">
        <v>38871.199999999997</v>
      </c>
      <c r="M359">
        <v>-200757.6</v>
      </c>
      <c r="N359">
        <v>0.01</v>
      </c>
    </row>
    <row r="360" spans="1:15" x14ac:dyDescent="0.35">
      <c r="B360" t="s">
        <v>35</v>
      </c>
      <c r="C360">
        <v>0.192333</v>
      </c>
      <c r="D360">
        <v>0.63702300000000001</v>
      </c>
      <c r="E360">
        <v>4.1652589999999998</v>
      </c>
      <c r="F360">
        <v>-5.9323000000000001E-2</v>
      </c>
      <c r="G360">
        <v>11.690002</v>
      </c>
      <c r="H360">
        <v>2.3439890000000001</v>
      </c>
      <c r="I360">
        <v>4.7540000000000004E-3</v>
      </c>
      <c r="J360">
        <v>3.2899999999999999E-2</v>
      </c>
      <c r="K360">
        <v>1.7446999999999999</v>
      </c>
      <c r="L360">
        <v>-293057.40000000002</v>
      </c>
      <c r="M360">
        <v>-71594.8</v>
      </c>
      <c r="N360">
        <v>2.46E-2</v>
      </c>
    </row>
    <row r="361" spans="1:15" x14ac:dyDescent="0.35">
      <c r="B361" t="s">
        <v>80</v>
      </c>
      <c r="C361">
        <v>1.6017E-2</v>
      </c>
      <c r="D361">
        <v>0.141656</v>
      </c>
      <c r="E361">
        <v>1.637823</v>
      </c>
      <c r="F361">
        <v>-3.1570000000000001E-2</v>
      </c>
      <c r="G361">
        <v>1.0727770000000001</v>
      </c>
      <c r="H361">
        <v>1.325132</v>
      </c>
      <c r="I361">
        <v>-2.3440000000000002E-3</v>
      </c>
      <c r="J361">
        <v>9.7999999999999997E-3</v>
      </c>
      <c r="K361">
        <v>0.54900000000000004</v>
      </c>
      <c r="L361">
        <v>-1331372.6000000001</v>
      </c>
      <c r="M361">
        <v>-5030745.2</v>
      </c>
      <c r="N361">
        <v>8.9999999999999993E-3</v>
      </c>
    </row>
    <row r="362" spans="1:15" x14ac:dyDescent="0.35">
      <c r="B362" t="s">
        <v>27</v>
      </c>
      <c r="C362">
        <v>8.4711999999999996E-2</v>
      </c>
      <c r="D362">
        <v>0.213225</v>
      </c>
      <c r="E362">
        <v>5.4513740000000004</v>
      </c>
      <c r="F362">
        <v>-1.8391999999999999E-2</v>
      </c>
      <c r="G362">
        <v>17.660004000000001</v>
      </c>
      <c r="H362">
        <v>1.0260069999999999</v>
      </c>
      <c r="I362">
        <v>2.085E-3</v>
      </c>
      <c r="J362">
        <v>1.6199999999999999E-2</v>
      </c>
      <c r="K362">
        <v>1.1371</v>
      </c>
      <c r="L362">
        <v>-1406256.8</v>
      </c>
      <c r="M362">
        <v>-3019073.6</v>
      </c>
      <c r="N362">
        <v>1.5800000000000002E-2</v>
      </c>
    </row>
    <row r="363" spans="1:15" x14ac:dyDescent="0.35">
      <c r="B363" t="s">
        <v>70</v>
      </c>
      <c r="C363">
        <v>3.6331000000000002E-2</v>
      </c>
      <c r="D363">
        <v>0.29635699999999998</v>
      </c>
      <c r="E363">
        <v>1.8269610000000001</v>
      </c>
      <c r="F363">
        <v>-4.6245000000000001E-2</v>
      </c>
      <c r="G363">
        <v>14.540009</v>
      </c>
      <c r="H363">
        <v>0.730962</v>
      </c>
      <c r="I363">
        <v>3.48E-4</v>
      </c>
      <c r="J363">
        <v>-3.4200000000000001E-2</v>
      </c>
      <c r="K363">
        <v>-0.1772</v>
      </c>
      <c r="L363">
        <v>-143624.79999999999</v>
      </c>
      <c r="M363">
        <v>-570909.6</v>
      </c>
      <c r="N363">
        <v>-1.4800000000000001E-2</v>
      </c>
    </row>
    <row r="365" spans="1:15" ht="29" x14ac:dyDescent="0.35">
      <c r="A365" s="1" t="s">
        <v>16</v>
      </c>
      <c r="B365" s="1" t="s">
        <v>12</v>
      </c>
      <c r="C365" s="1" t="s">
        <v>22</v>
      </c>
      <c r="D365" s="1" t="s">
        <v>3</v>
      </c>
      <c r="E365" s="1" t="s">
        <v>4</v>
      </c>
      <c r="F365" s="1" t="s">
        <v>7</v>
      </c>
      <c r="G365" s="1" t="s">
        <v>8</v>
      </c>
      <c r="H365" s="1" t="s">
        <v>5</v>
      </c>
      <c r="I365" s="1" t="s">
        <v>6</v>
      </c>
      <c r="J365" s="1" t="s">
        <v>17</v>
      </c>
      <c r="K365" s="1" t="s">
        <v>18</v>
      </c>
      <c r="L365" s="1" t="s">
        <v>19</v>
      </c>
      <c r="M365" s="1" t="s">
        <v>20</v>
      </c>
      <c r="N365" s="1" t="s">
        <v>21</v>
      </c>
      <c r="O365" s="1" t="s">
        <v>57</v>
      </c>
    </row>
    <row r="366" spans="1:15" x14ac:dyDescent="0.35">
      <c r="A366" s="9" t="s">
        <v>14</v>
      </c>
      <c r="B366" t="s">
        <v>23</v>
      </c>
      <c r="C366">
        <v>6.3656000000000004E-2</v>
      </c>
      <c r="D366">
        <v>0.15016399999999999</v>
      </c>
      <c r="E366">
        <v>5.5304880000000001</v>
      </c>
      <c r="F366">
        <v>-2.3085999999999999E-2</v>
      </c>
      <c r="G366">
        <v>12.800003</v>
      </c>
      <c r="H366">
        <v>1.024384</v>
      </c>
      <c r="I366">
        <v>1.4350000000000001E-3</v>
      </c>
      <c r="J366">
        <v>1.2800000000000001E-2</v>
      </c>
      <c r="K366">
        <v>-0.46450000000000002</v>
      </c>
      <c r="L366">
        <v>-2269690</v>
      </c>
      <c r="M366">
        <v>-1443540</v>
      </c>
      <c r="N366">
        <v>6.9999999999999999E-4</v>
      </c>
      <c r="O366" s="6">
        <v>6.6E-3</v>
      </c>
    </row>
    <row r="367" spans="1:15" x14ac:dyDescent="0.35">
      <c r="B367" t="s">
        <v>24</v>
      </c>
      <c r="C367">
        <v>3.5831000000000002E-2</v>
      </c>
      <c r="D367">
        <v>0.11518200000000001</v>
      </c>
      <c r="E367">
        <v>4.1118610000000002</v>
      </c>
      <c r="F367">
        <v>-1.2706E-2</v>
      </c>
      <c r="G367">
        <v>17.770019999999999</v>
      </c>
      <c r="H367">
        <v>0.76498600000000005</v>
      </c>
      <c r="I367">
        <v>4.8999999999999998E-4</v>
      </c>
      <c r="J367">
        <v>7.1999999999999998E-3</v>
      </c>
      <c r="K367">
        <v>0.63400000000000001</v>
      </c>
      <c r="L367">
        <v>1231760</v>
      </c>
      <c r="M367">
        <v>733800</v>
      </c>
      <c r="N367">
        <v>8.8999999999999999E-3</v>
      </c>
      <c r="O367" s="6">
        <v>7.1999999999999998E-3</v>
      </c>
    </row>
    <row r="368" spans="1:15" x14ac:dyDescent="0.35">
      <c r="B368" t="s">
        <v>25</v>
      </c>
      <c r="C368">
        <v>9.9842E-2</v>
      </c>
      <c r="D368">
        <v>0.26613500000000001</v>
      </c>
      <c r="E368">
        <v>4.8802979999999998</v>
      </c>
      <c r="F368">
        <v>-3.4508999999999998E-2</v>
      </c>
      <c r="G368">
        <v>15.75</v>
      </c>
      <c r="H368">
        <v>0.99653800000000003</v>
      </c>
      <c r="I368">
        <v>3.3440000000000002E-3</v>
      </c>
      <c r="J368">
        <v>6.3E-3</v>
      </c>
      <c r="K368">
        <v>-0.16239999999999999</v>
      </c>
      <c r="L368">
        <v>-6623570</v>
      </c>
      <c r="M368">
        <v>-8955820</v>
      </c>
      <c r="N368">
        <v>1.29E-2</v>
      </c>
      <c r="O368" s="6">
        <v>1.24E-2</v>
      </c>
    </row>
    <row r="369" spans="2:15" x14ac:dyDescent="0.35">
      <c r="B369" t="s">
        <v>30</v>
      </c>
      <c r="C369">
        <v>4.2486999999999997E-2</v>
      </c>
      <c r="D369">
        <v>0.236343</v>
      </c>
      <c r="E369">
        <v>2.4486849999999998</v>
      </c>
      <c r="F369">
        <v>-5.8959999999999999E-2</v>
      </c>
      <c r="G369">
        <v>1.010324</v>
      </c>
      <c r="H369">
        <v>0.56989999999999996</v>
      </c>
      <c r="I369">
        <v>1.261E-3</v>
      </c>
      <c r="J369">
        <v>3.0599999999999999E-2</v>
      </c>
      <c r="K369">
        <v>-0.70509999999999995</v>
      </c>
      <c r="L369">
        <v>-1848040</v>
      </c>
      <c r="M369">
        <v>2302180</v>
      </c>
      <c r="N369">
        <v>6.1000000000000004E-3</v>
      </c>
      <c r="O369" s="6">
        <v>3.95E-2</v>
      </c>
    </row>
    <row r="370" spans="2:15" x14ac:dyDescent="0.35">
      <c r="B370" t="s">
        <v>33</v>
      </c>
      <c r="C370">
        <v>2.0560000000000001E-3</v>
      </c>
      <c r="D370">
        <v>0.15270600000000001</v>
      </c>
      <c r="E370">
        <v>0.25116500000000003</v>
      </c>
      <c r="F370">
        <v>-4.9824E-2</v>
      </c>
      <c r="G370">
        <v>0.20000499999999999</v>
      </c>
      <c r="H370">
        <v>-1.6626999999999999E-2</v>
      </c>
      <c r="I370">
        <v>1.8200000000000001E-4</v>
      </c>
      <c r="J370">
        <v>2.5499999999999998E-2</v>
      </c>
      <c r="K370">
        <v>0.90629999999999999</v>
      </c>
      <c r="L370">
        <v>473740</v>
      </c>
      <c r="M370">
        <v>-113300</v>
      </c>
      <c r="N370">
        <v>1.26E-2</v>
      </c>
      <c r="O370" s="6">
        <v>1.8800000000000001E-2</v>
      </c>
    </row>
    <row r="371" spans="2:15" x14ac:dyDescent="0.35">
      <c r="B371" t="s">
        <v>32</v>
      </c>
      <c r="C371">
        <v>-7.1110000000000001E-3</v>
      </c>
      <c r="D371">
        <v>0.15481</v>
      </c>
      <c r="E371">
        <v>-0.53825000000000001</v>
      </c>
      <c r="F371">
        <v>-4.0561E-2</v>
      </c>
      <c r="G371">
        <v>-0.86999499999999996</v>
      </c>
      <c r="H371">
        <v>1.4883900000000001</v>
      </c>
      <c r="I371">
        <v>-3.0339999999999998E-3</v>
      </c>
      <c r="J371">
        <v>4.0000000000000002E-4</v>
      </c>
      <c r="K371">
        <v>-0.48609999999999998</v>
      </c>
      <c r="L371">
        <v>-38730</v>
      </c>
      <c r="M371">
        <v>-792160</v>
      </c>
      <c r="N371">
        <v>-1.5E-3</v>
      </c>
      <c r="O371" s="6">
        <v>5.1999999999999998E-3</v>
      </c>
    </row>
    <row r="372" spans="2:15" x14ac:dyDescent="0.35">
      <c r="B372" t="s">
        <v>47</v>
      </c>
      <c r="C372">
        <v>0.112695</v>
      </c>
      <c r="D372">
        <v>0.22164600000000001</v>
      </c>
      <c r="E372">
        <v>6.5123030000000002</v>
      </c>
      <c r="F372">
        <v>-2.2630000000000001E-2</v>
      </c>
      <c r="G372">
        <v>10.830002</v>
      </c>
      <c r="H372">
        <v>1.700113</v>
      </c>
      <c r="I372">
        <v>2.64E-3</v>
      </c>
      <c r="J372">
        <v>1.0999999999999999E-2</v>
      </c>
      <c r="K372">
        <v>-0.8387</v>
      </c>
      <c r="L372">
        <v>18840</v>
      </c>
      <c r="M372">
        <v>95160</v>
      </c>
      <c r="N372">
        <v>3.0999999999999999E-3</v>
      </c>
      <c r="O372" s="6">
        <v>2.1299999999999999E-2</v>
      </c>
    </row>
    <row r="373" spans="2:15" x14ac:dyDescent="0.35">
      <c r="B373" t="s">
        <v>26</v>
      </c>
      <c r="C373">
        <v>8.2059000000000007E-2</v>
      </c>
      <c r="D373">
        <v>0.16986200000000001</v>
      </c>
      <c r="E373">
        <v>6.2510060000000003</v>
      </c>
      <c r="F373">
        <v>-2.8797E-2</v>
      </c>
      <c r="G373">
        <v>14.649994</v>
      </c>
      <c r="H373">
        <v>0.46324799999999999</v>
      </c>
      <c r="I373">
        <v>3.372E-3</v>
      </c>
      <c r="J373">
        <v>4.3900000000000002E-2</v>
      </c>
      <c r="K373">
        <v>-0.32019999999999998</v>
      </c>
      <c r="L373">
        <v>1810290</v>
      </c>
      <c r="M373">
        <v>-16630920</v>
      </c>
      <c r="N373">
        <v>9.2999999999999992E-3</v>
      </c>
      <c r="O373" s="6">
        <v>1.6199999999999999E-2</v>
      </c>
    </row>
    <row r="374" spans="2:15" x14ac:dyDescent="0.35">
      <c r="B374" t="s">
        <v>66</v>
      </c>
      <c r="C374">
        <v>0.131603</v>
      </c>
      <c r="D374">
        <v>0.18359700000000001</v>
      </c>
      <c r="E374">
        <v>9.0471719999999998</v>
      </c>
      <c r="F374">
        <v>-1.7368000000000001E-2</v>
      </c>
      <c r="G374">
        <v>50.444153</v>
      </c>
      <c r="H374">
        <v>1.8606560000000001</v>
      </c>
      <c r="I374">
        <v>3.212E-3</v>
      </c>
      <c r="J374">
        <v>5.2299999999999999E-2</v>
      </c>
      <c r="K374">
        <v>-4.3299999999999998E-2</v>
      </c>
      <c r="L374">
        <v>109660</v>
      </c>
      <c r="M374">
        <v>-401520</v>
      </c>
      <c r="N374">
        <v>2.3900000000000001E-2</v>
      </c>
      <c r="O374" s="6">
        <v>5.7700000000000001E-2</v>
      </c>
    </row>
    <row r="375" spans="2:15" x14ac:dyDescent="0.35">
      <c r="B375" t="s">
        <v>74</v>
      </c>
      <c r="C375">
        <v>7.7334E-2</v>
      </c>
      <c r="D375">
        <v>0.29568699999999998</v>
      </c>
      <c r="E375">
        <v>3.4889899999999998</v>
      </c>
      <c r="F375">
        <v>-3.9579000000000003E-2</v>
      </c>
      <c r="G375">
        <v>20.829986999999999</v>
      </c>
      <c r="H375">
        <v>2.0989900000000001</v>
      </c>
      <c r="I375">
        <v>2.81E-4</v>
      </c>
      <c r="J375">
        <v>2.41E-2</v>
      </c>
      <c r="K375">
        <v>5.5999999999999999E-3</v>
      </c>
      <c r="L375">
        <v>-1068080</v>
      </c>
      <c r="M375">
        <v>-2146640</v>
      </c>
      <c r="N375">
        <v>1.5100000000000001E-2</v>
      </c>
      <c r="O375" s="6">
        <v>6.7999999999999996E-3</v>
      </c>
    </row>
    <row r="376" spans="2:15" x14ac:dyDescent="0.35">
      <c r="B376" t="s">
        <v>44</v>
      </c>
      <c r="C376">
        <v>4.5100000000000001E-2</v>
      </c>
      <c r="D376">
        <v>0.190633</v>
      </c>
      <c r="E376">
        <v>3.163478</v>
      </c>
      <c r="F376">
        <v>-4.4662E-2</v>
      </c>
      <c r="G376">
        <v>12.886566</v>
      </c>
      <c r="H376">
        <v>2.0079929999999999</v>
      </c>
      <c r="I376">
        <v>-1.2539999999999999E-3</v>
      </c>
      <c r="J376">
        <v>2.52E-2</v>
      </c>
      <c r="K376">
        <v>0.27089999999999997</v>
      </c>
      <c r="L376">
        <v>-367550</v>
      </c>
      <c r="M376">
        <v>-270160</v>
      </c>
      <c r="N376">
        <v>1.2699999999999999E-2</v>
      </c>
      <c r="O376" s="6">
        <v>2.63E-2</v>
      </c>
    </row>
    <row r="377" spans="2:15" x14ac:dyDescent="0.35">
      <c r="B377" t="s">
        <v>67</v>
      </c>
      <c r="C377">
        <v>7.2015999999999997E-2</v>
      </c>
      <c r="D377">
        <v>0.29391099999999998</v>
      </c>
      <c r="E377">
        <v>3.285876</v>
      </c>
      <c r="F377">
        <v>-5.8750999999999998E-2</v>
      </c>
      <c r="G377">
        <v>75.460082999999997</v>
      </c>
      <c r="H377">
        <v>2.6379649999999999</v>
      </c>
      <c r="I377">
        <v>-9.59E-4</v>
      </c>
      <c r="J377">
        <v>1.78E-2</v>
      </c>
      <c r="K377">
        <v>8.7300000000000003E-2</v>
      </c>
      <c r="L377">
        <v>9990</v>
      </c>
      <c r="M377">
        <v>-50820</v>
      </c>
      <c r="N377">
        <v>1.0999999999999999E-2</v>
      </c>
      <c r="O377" s="6">
        <v>2.7699999999999999E-2</v>
      </c>
    </row>
    <row r="378" spans="2:15" x14ac:dyDescent="0.35">
      <c r="B378" t="s">
        <v>46</v>
      </c>
      <c r="C378">
        <v>9.9059999999999995E-2</v>
      </c>
      <c r="D378">
        <v>0.21261099999999999</v>
      </c>
      <c r="E378">
        <v>6.0064979999999997</v>
      </c>
      <c r="F378">
        <v>-1.8106000000000001E-2</v>
      </c>
      <c r="G378">
        <v>7.2763140000000002</v>
      </c>
      <c r="H378">
        <v>2.1130559999999998</v>
      </c>
      <c r="I378">
        <v>1.2290000000000001E-3</v>
      </c>
      <c r="J378">
        <v>5.6599999999999998E-2</v>
      </c>
      <c r="K378">
        <v>0.29509999999999997</v>
      </c>
      <c r="L378">
        <v>-180520</v>
      </c>
      <c r="M378">
        <v>-573560</v>
      </c>
      <c r="N378">
        <v>2.93E-2</v>
      </c>
      <c r="O378" s="6">
        <v>6.2700000000000006E-2</v>
      </c>
    </row>
    <row r="379" spans="2:15" x14ac:dyDescent="0.35">
      <c r="B379" t="s">
        <v>49</v>
      </c>
      <c r="C379">
        <v>-0.106674</v>
      </c>
      <c r="D379">
        <v>0.51521399999999995</v>
      </c>
      <c r="E379">
        <v>-2.6302979999999998</v>
      </c>
      <c r="F379">
        <v>-0.163887</v>
      </c>
      <c r="G379">
        <v>-22.089995999999999</v>
      </c>
      <c r="H379">
        <v>-2.1325419999999999</v>
      </c>
      <c r="I379">
        <v>-1.5039999999999999E-3</v>
      </c>
      <c r="J379">
        <v>-0.14599999999999999</v>
      </c>
      <c r="K379">
        <v>0.49659999999999999</v>
      </c>
      <c r="L379">
        <v>-516750</v>
      </c>
      <c r="M379">
        <v>-5306300</v>
      </c>
      <c r="N379">
        <v>-6.2300000000000001E-2</v>
      </c>
      <c r="O379" s="6">
        <v>-0.13789999999999999</v>
      </c>
    </row>
    <row r="380" spans="2:15" x14ac:dyDescent="0.35">
      <c r="B380" t="s">
        <v>65</v>
      </c>
      <c r="C380">
        <v>6.3385999999999998E-2</v>
      </c>
      <c r="D380">
        <v>0.13567699999999999</v>
      </c>
      <c r="E380">
        <v>6.0815630000000001</v>
      </c>
      <c r="F380">
        <v>-1.1339E-2</v>
      </c>
      <c r="G380">
        <v>6.6600039999999998</v>
      </c>
      <c r="H380">
        <v>1.6638839999999999</v>
      </c>
      <c r="I380">
        <v>2.52E-4</v>
      </c>
      <c r="J380">
        <v>2.5399999999999999E-2</v>
      </c>
      <c r="K380">
        <v>1.1164000000000001</v>
      </c>
      <c r="L380">
        <v>278360</v>
      </c>
      <c r="M380">
        <v>-884220</v>
      </c>
      <c r="N380">
        <v>1.8599999999999998E-2</v>
      </c>
      <c r="O380" s="6">
        <v>3.2000000000000001E-2</v>
      </c>
    </row>
    <row r="381" spans="2:15" x14ac:dyDescent="0.35">
      <c r="B381" t="s">
        <v>34</v>
      </c>
      <c r="C381">
        <v>2.3734999999999999E-2</v>
      </c>
      <c r="D381">
        <v>0.14860000000000001</v>
      </c>
      <c r="E381">
        <v>2.1651359999999999</v>
      </c>
      <c r="F381">
        <v>-2.4513E-2</v>
      </c>
      <c r="G381">
        <v>6.920013</v>
      </c>
      <c r="H381">
        <v>0.140903</v>
      </c>
      <c r="I381">
        <v>1.021E-3</v>
      </c>
      <c r="J381">
        <v>4.7000000000000002E-3</v>
      </c>
      <c r="K381">
        <v>1.2626999999999999</v>
      </c>
      <c r="L381">
        <v>247920</v>
      </c>
      <c r="M381">
        <v>-296380</v>
      </c>
      <c r="N381">
        <v>4.3E-3</v>
      </c>
      <c r="O381" s="6">
        <v>9.1999999999999998E-3</v>
      </c>
    </row>
    <row r="382" spans="2:15" x14ac:dyDescent="0.35">
      <c r="B382" t="s">
        <v>68</v>
      </c>
      <c r="C382">
        <v>7.8381999999999993E-2</v>
      </c>
      <c r="D382">
        <v>0.15379999999999999</v>
      </c>
      <c r="E382">
        <v>6.5929010000000003</v>
      </c>
      <c r="F382">
        <v>-2.3481999999999999E-2</v>
      </c>
      <c r="G382">
        <v>20</v>
      </c>
      <c r="H382">
        <v>1.1626030000000001</v>
      </c>
      <c r="I382">
        <v>1.9120000000000001E-3</v>
      </c>
      <c r="J382">
        <v>6.6799999999999998E-2</v>
      </c>
      <c r="K382">
        <v>-0.76439999999999997</v>
      </c>
      <c r="L382">
        <v>-38870</v>
      </c>
      <c r="M382">
        <v>59580</v>
      </c>
      <c r="N382">
        <v>1.8700000000000001E-2</v>
      </c>
      <c r="O382" s="6">
        <v>5.3999999999999999E-2</v>
      </c>
    </row>
    <row r="383" spans="2:15" x14ac:dyDescent="0.35">
      <c r="B383" t="s">
        <v>79</v>
      </c>
      <c r="C383">
        <v>-6.2904000000000002E-2</v>
      </c>
      <c r="D383">
        <v>0.32579599999999997</v>
      </c>
      <c r="E383">
        <v>-2.484588</v>
      </c>
      <c r="F383">
        <v>-0.10227600000000001</v>
      </c>
      <c r="G383">
        <v>-31.409973000000001</v>
      </c>
      <c r="H383">
        <v>1.903597</v>
      </c>
      <c r="I383">
        <v>-6.6699999999999997E-3</v>
      </c>
      <c r="J383">
        <v>-1.6899999999999998E-2</v>
      </c>
      <c r="K383">
        <v>1.0640000000000001</v>
      </c>
      <c r="L383">
        <v>-273590</v>
      </c>
      <c r="M383">
        <v>-198800</v>
      </c>
      <c r="N383">
        <v>-2E-3</v>
      </c>
      <c r="O383" s="6">
        <v>-2.8400000000000002E-2</v>
      </c>
    </row>
    <row r="384" spans="2:15" x14ac:dyDescent="0.35">
      <c r="B384" t="s">
        <v>35</v>
      </c>
      <c r="C384">
        <v>5.8716999999999998E-2</v>
      </c>
      <c r="D384">
        <v>0.30542999999999998</v>
      </c>
      <c r="E384">
        <v>2.6257079999999999</v>
      </c>
      <c r="F384">
        <v>-5.9323000000000001E-2</v>
      </c>
      <c r="G384">
        <v>4.2299959999999999</v>
      </c>
      <c r="H384">
        <v>1.20543</v>
      </c>
      <c r="I384">
        <v>9.9299999999999996E-4</v>
      </c>
      <c r="J384">
        <v>5.2400000000000002E-2</v>
      </c>
      <c r="K384">
        <v>6.2799999999999995E-2</v>
      </c>
      <c r="L384">
        <v>-1233550</v>
      </c>
      <c r="M384">
        <v>-1869560</v>
      </c>
      <c r="N384">
        <v>9.2999999999999992E-3</v>
      </c>
      <c r="O384" s="6">
        <v>3.04E-2</v>
      </c>
    </row>
    <row r="385" spans="1:15" x14ac:dyDescent="0.35">
      <c r="B385" t="s">
        <v>80</v>
      </c>
      <c r="C385">
        <v>6.6E-3</v>
      </c>
      <c r="D385">
        <v>0.13356799999999999</v>
      </c>
      <c r="E385">
        <v>0.71637700000000004</v>
      </c>
      <c r="F385">
        <v>-3.1570000000000001E-2</v>
      </c>
      <c r="G385">
        <v>0.45036300000000001</v>
      </c>
      <c r="H385">
        <v>1.555701</v>
      </c>
      <c r="I385">
        <v>-2.4459999999999998E-3</v>
      </c>
      <c r="J385">
        <v>9.4000000000000004E-3</v>
      </c>
      <c r="K385">
        <v>0.84570000000000001</v>
      </c>
      <c r="L385">
        <v>-716260</v>
      </c>
      <c r="M385">
        <v>-451420</v>
      </c>
      <c r="N385">
        <v>3.8999999999999998E-3</v>
      </c>
      <c r="O385" s="6">
        <v>5.1000000000000004E-3</v>
      </c>
    </row>
    <row r="386" spans="1:15" x14ac:dyDescent="0.35">
      <c r="B386" t="s">
        <v>27</v>
      </c>
      <c r="C386">
        <v>3.6452999999999999E-2</v>
      </c>
      <c r="D386">
        <v>0.172537</v>
      </c>
      <c r="E386">
        <v>2.8367580000000001</v>
      </c>
      <c r="F386">
        <v>-1.8391999999999999E-2</v>
      </c>
      <c r="G386">
        <v>8.1399989999999995</v>
      </c>
      <c r="H386">
        <v>5.5545999999999998E-2</v>
      </c>
      <c r="I386">
        <v>1.841E-3</v>
      </c>
      <c r="J386">
        <v>2.35E-2</v>
      </c>
      <c r="K386">
        <v>-0.8337</v>
      </c>
      <c r="L386">
        <v>-1786140</v>
      </c>
      <c r="M386">
        <v>-3297340</v>
      </c>
      <c r="N386">
        <v>7.4000000000000003E-3</v>
      </c>
      <c r="O386" s="6">
        <v>9.2999999999999992E-3</v>
      </c>
    </row>
    <row r="387" spans="1:15" x14ac:dyDescent="0.35">
      <c r="B387" t="s">
        <v>70</v>
      </c>
      <c r="C387">
        <v>0.17154900000000001</v>
      </c>
      <c r="D387">
        <v>0.48076400000000002</v>
      </c>
      <c r="E387">
        <v>4.6073630000000003</v>
      </c>
      <c r="F387">
        <v>-6.8804000000000004E-2</v>
      </c>
      <c r="G387">
        <v>70.040008999999998</v>
      </c>
      <c r="H387">
        <v>2.3957830000000002</v>
      </c>
      <c r="I387">
        <v>4.4380000000000001E-3</v>
      </c>
      <c r="J387">
        <v>0.15329999999999999</v>
      </c>
      <c r="K387">
        <v>-0.56920000000000004</v>
      </c>
      <c r="L387">
        <v>550320</v>
      </c>
      <c r="M387">
        <v>-2050300</v>
      </c>
      <c r="N387">
        <v>6.1699999999999998E-2</v>
      </c>
      <c r="O387" s="6">
        <v>0.1812</v>
      </c>
    </row>
    <row r="389" spans="1:15" x14ac:dyDescent="0.35">
      <c r="A389" s="3"/>
      <c r="B389" s="3"/>
      <c r="C389" s="3"/>
      <c r="D389" s="3"/>
      <c r="E389" s="3"/>
      <c r="F389" s="3"/>
      <c r="G389" s="3" t="s">
        <v>116</v>
      </c>
      <c r="H389" s="3"/>
      <c r="I389" s="3"/>
      <c r="J389" s="3"/>
      <c r="K389" s="3"/>
      <c r="L389" s="3"/>
      <c r="M389" s="3"/>
      <c r="N389" s="3"/>
    </row>
    <row r="392" spans="1:15" x14ac:dyDescent="0.35">
      <c r="A392" s="11" t="s">
        <v>85</v>
      </c>
    </row>
    <row r="393" spans="1:15" ht="29" x14ac:dyDescent="0.35">
      <c r="A393" s="1" t="s">
        <v>16</v>
      </c>
      <c r="B393" s="1" t="s">
        <v>12</v>
      </c>
      <c r="C393" s="1" t="s">
        <v>22</v>
      </c>
      <c r="D393" s="1" t="s">
        <v>3</v>
      </c>
      <c r="E393" s="1" t="s">
        <v>4</v>
      </c>
      <c r="F393" s="1" t="s">
        <v>7</v>
      </c>
      <c r="G393" s="1" t="s">
        <v>8</v>
      </c>
      <c r="H393" s="1" t="s">
        <v>5</v>
      </c>
      <c r="I393" s="1" t="s">
        <v>6</v>
      </c>
      <c r="J393" s="1" t="s">
        <v>17</v>
      </c>
      <c r="K393" s="1" t="s">
        <v>18</v>
      </c>
      <c r="L393" s="1" t="s">
        <v>19</v>
      </c>
      <c r="M393" s="1" t="s">
        <v>20</v>
      </c>
      <c r="N393" s="1" t="s">
        <v>21</v>
      </c>
    </row>
    <row r="394" spans="1:15" x14ac:dyDescent="0.35">
      <c r="A394" s="9" t="s">
        <v>15</v>
      </c>
      <c r="B394" t="s">
        <v>23</v>
      </c>
      <c r="C394">
        <v>4.3281E-2</v>
      </c>
      <c r="D394">
        <v>0.13523299999999999</v>
      </c>
      <c r="E394">
        <v>4.2241629999999999</v>
      </c>
      <c r="F394">
        <v>-2.3085999999999999E-2</v>
      </c>
      <c r="G394">
        <v>8.8800050000000006</v>
      </c>
      <c r="H394">
        <v>0.86500900000000003</v>
      </c>
      <c r="I394">
        <v>9.2299999999999999E-4</v>
      </c>
      <c r="J394">
        <v>-9.2999999999999992E-3</v>
      </c>
      <c r="K394">
        <v>-1.893</v>
      </c>
      <c r="L394">
        <v>-6008505</v>
      </c>
      <c r="M394">
        <v>-5350810</v>
      </c>
      <c r="N394">
        <v>-5.7999999999999996E-3</v>
      </c>
    </row>
    <row r="395" spans="1:15" x14ac:dyDescent="0.35">
      <c r="B395" t="s">
        <v>25</v>
      </c>
      <c r="C395">
        <v>0.118742</v>
      </c>
      <c r="D395">
        <v>0.27019599999999999</v>
      </c>
      <c r="E395">
        <v>5.6517650000000001</v>
      </c>
      <c r="F395">
        <v>-3.4508999999999998E-2</v>
      </c>
      <c r="G395">
        <v>18.759995</v>
      </c>
      <c r="H395">
        <v>1.010524</v>
      </c>
      <c r="I395">
        <v>4.4900000000000001E-3</v>
      </c>
      <c r="J395">
        <v>5.5899999999999998E-2</v>
      </c>
      <c r="K395">
        <v>-1.244</v>
      </c>
      <c r="L395">
        <v>-11595475.800000001</v>
      </c>
      <c r="M395">
        <v>-13112931.6</v>
      </c>
      <c r="N395">
        <v>1.23E-2</v>
      </c>
    </row>
    <row r="396" spans="1:15" x14ac:dyDescent="0.35">
      <c r="B396" t="s">
        <v>26</v>
      </c>
      <c r="C396">
        <v>9.2776999999999998E-2</v>
      </c>
      <c r="D396">
        <v>0.159501</v>
      </c>
      <c r="E396">
        <v>7.4700660000000001</v>
      </c>
      <c r="F396">
        <v>-2.8797E-2</v>
      </c>
      <c r="G396">
        <v>16.350006</v>
      </c>
      <c r="H396">
        <v>0.71665000000000001</v>
      </c>
      <c r="I396">
        <v>3.6150000000000002E-3</v>
      </c>
      <c r="J396">
        <v>1.5299999999999999E-2</v>
      </c>
      <c r="K396">
        <v>0.88670000000000004</v>
      </c>
      <c r="L396">
        <v>-12027830</v>
      </c>
      <c r="M396">
        <v>-4678300</v>
      </c>
      <c r="N396">
        <v>9.1999999999999998E-3</v>
      </c>
    </row>
    <row r="397" spans="1:15" x14ac:dyDescent="0.35">
      <c r="B397" t="s">
        <v>46</v>
      </c>
      <c r="C397">
        <v>9.8730999999999999E-2</v>
      </c>
      <c r="D397">
        <v>0.21284</v>
      </c>
      <c r="E397">
        <v>5.9814879999999997</v>
      </c>
      <c r="F397">
        <v>-1.8106000000000001E-2</v>
      </c>
      <c r="G397">
        <v>7.2048949999999996</v>
      </c>
      <c r="H397">
        <v>2.3750610000000001</v>
      </c>
      <c r="I397">
        <v>1.361E-3</v>
      </c>
      <c r="J397">
        <v>-6.9400000000000003E-2</v>
      </c>
      <c r="K397">
        <v>-1.8933</v>
      </c>
      <c r="L397">
        <v>201009</v>
      </c>
      <c r="M397">
        <v>309778</v>
      </c>
      <c r="N397">
        <v>-9.0800000000000006E-2</v>
      </c>
    </row>
    <row r="398" spans="1:15" x14ac:dyDescent="0.35">
      <c r="B398" t="s">
        <v>70</v>
      </c>
      <c r="C398">
        <v>0.196074</v>
      </c>
      <c r="D398">
        <v>0.47721000000000002</v>
      </c>
      <c r="E398">
        <v>5.2194690000000001</v>
      </c>
      <c r="F398">
        <v>-6.8804000000000004E-2</v>
      </c>
      <c r="G398">
        <v>79.5</v>
      </c>
      <c r="H398">
        <v>2.6387420000000001</v>
      </c>
      <c r="I398">
        <v>5.7840000000000001E-3</v>
      </c>
      <c r="J398">
        <v>0.1394</v>
      </c>
      <c r="K398">
        <v>-0.68430000000000002</v>
      </c>
      <c r="L398">
        <v>-1821083.6</v>
      </c>
      <c r="M398">
        <v>73192.800000000003</v>
      </c>
      <c r="N398">
        <v>1.83E-2</v>
      </c>
    </row>
    <row r="399" spans="1:15" x14ac:dyDescent="0.35">
      <c r="B399" t="s">
        <v>27</v>
      </c>
      <c r="C399">
        <v>6.1078E-2</v>
      </c>
      <c r="D399">
        <v>0.15582599999999999</v>
      </c>
      <c r="E399">
        <v>5.127815</v>
      </c>
      <c r="F399">
        <v>-1.8391999999999999E-2</v>
      </c>
      <c r="G399">
        <v>13.399994</v>
      </c>
      <c r="H399">
        <v>0.272646</v>
      </c>
      <c r="I399">
        <v>2.7469999999999999E-3</v>
      </c>
      <c r="J399">
        <v>1.67E-2</v>
      </c>
      <c r="K399">
        <v>-1.1907000000000001</v>
      </c>
      <c r="L399">
        <v>-4220521.4000000004</v>
      </c>
      <c r="M399">
        <v>-4371742.8</v>
      </c>
      <c r="N399">
        <v>2.9999999999999997E-4</v>
      </c>
    </row>
    <row r="400" spans="1:15" x14ac:dyDescent="0.35">
      <c r="B400" t="s">
        <v>74</v>
      </c>
      <c r="C400">
        <v>6.7657999999999996E-2</v>
      </c>
      <c r="D400">
        <v>0.28911100000000001</v>
      </c>
      <c r="E400">
        <v>3.1466789999999998</v>
      </c>
      <c r="F400">
        <v>-3.9579000000000003E-2</v>
      </c>
      <c r="G400">
        <v>18.649994</v>
      </c>
      <c r="H400">
        <v>1.890099</v>
      </c>
      <c r="I400">
        <v>6.7299999999999999E-4</v>
      </c>
      <c r="J400">
        <v>6.2799999999999995E-2</v>
      </c>
      <c r="K400">
        <v>-1.1001000000000001</v>
      </c>
      <c r="L400">
        <v>-2481410.7999999998</v>
      </c>
      <c r="M400">
        <v>-34461.599999999999</v>
      </c>
      <c r="N400">
        <v>1.89E-2</v>
      </c>
    </row>
    <row r="401" spans="1:15" x14ac:dyDescent="0.35">
      <c r="B401" t="s">
        <v>30</v>
      </c>
      <c r="C401">
        <v>2.0192999999999999E-2</v>
      </c>
      <c r="D401">
        <v>0.249172</v>
      </c>
      <c r="E401">
        <v>1.1819310000000001</v>
      </c>
      <c r="F401">
        <v>-5.8959999999999999E-2</v>
      </c>
      <c r="G401">
        <v>0.48117100000000002</v>
      </c>
      <c r="H401">
        <v>0.690218</v>
      </c>
      <c r="I401">
        <v>9.6000000000000002E-5</v>
      </c>
      <c r="J401">
        <v>-1.8200000000000001E-2</v>
      </c>
      <c r="K401">
        <v>0.19309999999999999</v>
      </c>
      <c r="L401">
        <v>-4171009.4</v>
      </c>
      <c r="M401">
        <v>-3719418.8</v>
      </c>
      <c r="N401">
        <v>-1.5299999999999999E-2</v>
      </c>
    </row>
    <row r="402" spans="1:15" x14ac:dyDescent="0.35">
      <c r="B402" t="s">
        <v>24</v>
      </c>
      <c r="C402">
        <v>3.0336999999999999E-2</v>
      </c>
      <c r="D402">
        <v>0.116106</v>
      </c>
      <c r="E402">
        <v>3.4714649999999998</v>
      </c>
      <c r="F402">
        <v>-1.2706E-2</v>
      </c>
      <c r="G402">
        <v>15.089995999999999</v>
      </c>
      <c r="H402">
        <v>0.79629799999999995</v>
      </c>
      <c r="I402">
        <v>3.6200000000000002E-4</v>
      </c>
      <c r="J402">
        <v>1.55E-2</v>
      </c>
      <c r="K402">
        <v>-0.45379999999999998</v>
      </c>
      <c r="L402">
        <v>-2142085.6</v>
      </c>
      <c r="M402">
        <v>-3625931.2</v>
      </c>
      <c r="N402">
        <v>3.7000000000000002E-3</v>
      </c>
    </row>
    <row r="403" spans="1:15" x14ac:dyDescent="0.35">
      <c r="B403" t="s">
        <v>33</v>
      </c>
      <c r="C403">
        <v>-1.7390000000000001E-3</v>
      </c>
      <c r="D403">
        <v>0.151555</v>
      </c>
      <c r="E403">
        <v>-8.0076999999999995E-2</v>
      </c>
      <c r="F403">
        <v>-4.9824E-2</v>
      </c>
      <c r="G403">
        <v>-0.16999800000000001</v>
      </c>
      <c r="H403">
        <v>-8.4034999999999999E-2</v>
      </c>
      <c r="I403">
        <v>8.2000000000000001E-5</v>
      </c>
      <c r="J403">
        <v>2.4899999999999999E-2</v>
      </c>
      <c r="K403">
        <v>0.3402</v>
      </c>
      <c r="L403">
        <v>-1405002.4</v>
      </c>
      <c r="M403">
        <v>-3918944.8</v>
      </c>
      <c r="N403">
        <v>1.15E-2</v>
      </c>
    </row>
    <row r="404" spans="1:15" x14ac:dyDescent="0.35">
      <c r="B404" t="s">
        <v>34</v>
      </c>
      <c r="C404">
        <v>2.4129999999999999E-2</v>
      </c>
      <c r="D404">
        <v>0.14863799999999999</v>
      </c>
      <c r="E404">
        <v>2.1990470000000002</v>
      </c>
      <c r="F404">
        <v>-2.4513E-2</v>
      </c>
      <c r="G404">
        <v>7.0499879999999999</v>
      </c>
      <c r="H404">
        <v>0.12966800000000001</v>
      </c>
      <c r="I404">
        <v>1.096E-3</v>
      </c>
      <c r="J404">
        <v>6.0000000000000001E-3</v>
      </c>
      <c r="K404">
        <v>0.52749999999999997</v>
      </c>
      <c r="L404">
        <v>-450236.4</v>
      </c>
      <c r="M404">
        <v>-1056672.8</v>
      </c>
      <c r="N404">
        <v>9.1000000000000004E-3</v>
      </c>
    </row>
    <row r="405" spans="1:15" x14ac:dyDescent="0.35">
      <c r="B405" t="s">
        <v>68</v>
      </c>
      <c r="C405">
        <v>6.0077999999999999E-2</v>
      </c>
      <c r="D405">
        <v>0.155391</v>
      </c>
      <c r="E405">
        <v>5.0604810000000002</v>
      </c>
      <c r="F405">
        <v>-2.3481999999999999E-2</v>
      </c>
      <c r="G405">
        <v>15.5</v>
      </c>
      <c r="H405">
        <v>1.1613389999999999</v>
      </c>
      <c r="I405">
        <v>1.3159999999999999E-3</v>
      </c>
      <c r="J405">
        <v>3.3399999999999999E-2</v>
      </c>
      <c r="K405">
        <v>0.39029999999999998</v>
      </c>
      <c r="L405">
        <v>-112266</v>
      </c>
      <c r="M405">
        <v>-224972</v>
      </c>
      <c r="N405">
        <v>7.1999999999999998E-3</v>
      </c>
    </row>
    <row r="406" spans="1:15" x14ac:dyDescent="0.35">
      <c r="B406" t="s">
        <v>28</v>
      </c>
      <c r="C406">
        <v>-9.5682000000000003E-2</v>
      </c>
      <c r="D406">
        <v>0.38536199999999998</v>
      </c>
      <c r="E406">
        <v>-3.2680899999999999</v>
      </c>
      <c r="F406">
        <v>-0.14582700000000001</v>
      </c>
      <c r="G406">
        <v>-29.850006</v>
      </c>
      <c r="H406">
        <v>0.100134</v>
      </c>
      <c r="I406">
        <v>-5.1529999999999996E-3</v>
      </c>
      <c r="J406">
        <v>-6.3500000000000001E-2</v>
      </c>
      <c r="K406">
        <v>-1.2818000000000001</v>
      </c>
      <c r="L406">
        <v>1940868.4</v>
      </c>
      <c r="M406">
        <v>3548116.8</v>
      </c>
      <c r="N406">
        <v>-4.7199999999999999E-2</v>
      </c>
    </row>
    <row r="407" spans="1:15" x14ac:dyDescent="0.35">
      <c r="B407" t="s">
        <v>44</v>
      </c>
      <c r="C407">
        <v>3.3827999999999997E-2</v>
      </c>
      <c r="D407">
        <v>0.188864</v>
      </c>
      <c r="E407">
        <v>2.4282680000000001</v>
      </c>
      <c r="F407">
        <v>-4.4662E-2</v>
      </c>
      <c r="G407">
        <v>9.7599789999999995</v>
      </c>
      <c r="H407">
        <v>2.0014609999999999</v>
      </c>
      <c r="I407">
        <v>-1.2899999999999999E-3</v>
      </c>
      <c r="J407">
        <v>2.1499999999999998E-2</v>
      </c>
      <c r="K407">
        <v>-0.80740000000000001</v>
      </c>
      <c r="L407">
        <v>-956643</v>
      </c>
      <c r="M407">
        <v>-949326</v>
      </c>
      <c r="N407">
        <v>4.0000000000000002E-4</v>
      </c>
    </row>
    <row r="408" spans="1:15" x14ac:dyDescent="0.35">
      <c r="B408" t="s">
        <v>49</v>
      </c>
      <c r="C408">
        <v>-8.8479000000000002E-2</v>
      </c>
      <c r="D408">
        <v>0.52492099999999997</v>
      </c>
      <c r="E408">
        <v>-2.0656919999999999</v>
      </c>
      <c r="F408">
        <v>-0.163887</v>
      </c>
      <c r="G408">
        <v>-18.369994999999999</v>
      </c>
      <c r="H408">
        <v>-2.4275920000000002</v>
      </c>
      <c r="I408">
        <v>-5.31E-4</v>
      </c>
      <c r="J408">
        <v>-0.1096</v>
      </c>
      <c r="K408">
        <v>0.56889999999999996</v>
      </c>
      <c r="L408">
        <v>-5714583</v>
      </c>
      <c r="M408">
        <v>2279074</v>
      </c>
      <c r="N408">
        <v>2.06E-2</v>
      </c>
    </row>
    <row r="409" spans="1:15" x14ac:dyDescent="0.35">
      <c r="B409" t="s">
        <v>67</v>
      </c>
      <c r="C409">
        <v>6.5351000000000006E-2</v>
      </c>
      <c r="D409">
        <v>0.29551300000000003</v>
      </c>
      <c r="E409">
        <v>2.9886460000000001</v>
      </c>
      <c r="F409">
        <v>-5.8750999999999998E-2</v>
      </c>
      <c r="G409">
        <v>68.569946000000002</v>
      </c>
      <c r="H409">
        <v>2.7933110000000001</v>
      </c>
      <c r="I409">
        <v>-8.3600000000000005E-4</v>
      </c>
      <c r="J409">
        <v>1.49E-2</v>
      </c>
      <c r="K409">
        <v>-0.48130000000000001</v>
      </c>
      <c r="L409">
        <v>-131155.79999999999</v>
      </c>
      <c r="M409">
        <v>-45211.6</v>
      </c>
      <c r="N409">
        <v>-2.3E-3</v>
      </c>
    </row>
    <row r="410" spans="1:15" x14ac:dyDescent="0.35">
      <c r="B410" t="s">
        <v>80</v>
      </c>
      <c r="C410">
        <v>-1.5157E-2</v>
      </c>
      <c r="D410">
        <v>0.13378100000000001</v>
      </c>
      <c r="E410">
        <v>-1.4503429999999999</v>
      </c>
      <c r="F410">
        <v>-3.1570000000000001E-2</v>
      </c>
      <c r="G410">
        <v>-1.0452729999999999</v>
      </c>
      <c r="H410">
        <v>1.5365549999999999</v>
      </c>
      <c r="I410">
        <v>-3.1580000000000002E-3</v>
      </c>
      <c r="J410">
        <v>2.5999999999999999E-3</v>
      </c>
      <c r="K410">
        <v>0.76590000000000003</v>
      </c>
      <c r="L410">
        <v>-742808.2</v>
      </c>
      <c r="M410">
        <v>-5603776.4000000004</v>
      </c>
      <c r="N410">
        <v>-5.0000000000000001E-4</v>
      </c>
    </row>
    <row r="411" spans="1:15" x14ac:dyDescent="0.35">
      <c r="B411" t="s">
        <v>66</v>
      </c>
      <c r="C411">
        <v>0.119307</v>
      </c>
      <c r="D411">
        <v>0.18583</v>
      </c>
      <c r="E411">
        <v>8.1558150000000005</v>
      </c>
      <c r="F411">
        <v>-1.7368000000000001E-2</v>
      </c>
      <c r="G411">
        <v>46.146942000000003</v>
      </c>
      <c r="H411">
        <v>1.9299789999999999</v>
      </c>
      <c r="I411">
        <v>3.0149999999999999E-3</v>
      </c>
      <c r="J411">
        <v>1.8700000000000001E-2</v>
      </c>
      <c r="K411">
        <v>-1.5627</v>
      </c>
      <c r="L411">
        <v>-463690.8</v>
      </c>
      <c r="M411">
        <v>-446021.6</v>
      </c>
      <c r="N411">
        <v>-1.11E-2</v>
      </c>
    </row>
    <row r="412" spans="1:15" x14ac:dyDescent="0.35">
      <c r="B412" t="s">
        <v>84</v>
      </c>
      <c r="C412">
        <v>-0.103407</v>
      </c>
      <c r="D412">
        <v>0.36328100000000002</v>
      </c>
      <c r="E412">
        <v>-3.8017690000000002</v>
      </c>
      <c r="F412">
        <v>-0.158586</v>
      </c>
      <c r="G412">
        <v>-6.9500010000000003</v>
      </c>
      <c r="H412">
        <v>1.1149370000000001</v>
      </c>
      <c r="I412">
        <v>-7.2129999999999998E-3</v>
      </c>
      <c r="J412">
        <v>-6.9800000000000001E-2</v>
      </c>
      <c r="K412">
        <v>-0.31219999999999998</v>
      </c>
      <c r="L412">
        <v>-659871.19999999995</v>
      </c>
      <c r="M412">
        <v>-125722.4</v>
      </c>
      <c r="N412">
        <v>-2.52E-2</v>
      </c>
    </row>
    <row r="413" spans="1:15" x14ac:dyDescent="0.35">
      <c r="B413" t="s">
        <v>36</v>
      </c>
      <c r="C413">
        <v>-8.9479999999999994E-3</v>
      </c>
      <c r="D413">
        <v>0.178534</v>
      </c>
      <c r="E413">
        <v>-0.58246200000000004</v>
      </c>
      <c r="F413">
        <v>-5.8724999999999999E-2</v>
      </c>
      <c r="G413">
        <v>-2.4400019999999998</v>
      </c>
      <c r="H413">
        <v>0.92138399999999998</v>
      </c>
      <c r="I413">
        <v>-1.8439999999999999E-3</v>
      </c>
      <c r="J413">
        <v>1.6400000000000001E-2</v>
      </c>
      <c r="K413">
        <v>-1.6556999999999999</v>
      </c>
      <c r="L413">
        <v>-727937</v>
      </c>
      <c r="M413">
        <v>-429174</v>
      </c>
      <c r="N413">
        <v>-1.9E-3</v>
      </c>
    </row>
    <row r="415" spans="1:15" ht="29" x14ac:dyDescent="0.35">
      <c r="A415" s="1" t="s">
        <v>16</v>
      </c>
      <c r="B415" s="1" t="s">
        <v>12</v>
      </c>
      <c r="C415" s="1" t="s">
        <v>22</v>
      </c>
      <c r="D415" s="1" t="s">
        <v>3</v>
      </c>
      <c r="E415" s="1" t="s">
        <v>4</v>
      </c>
      <c r="F415" s="1" t="s">
        <v>7</v>
      </c>
      <c r="G415" s="1" t="s">
        <v>8</v>
      </c>
      <c r="H415" s="1" t="s">
        <v>5</v>
      </c>
      <c r="I415" s="1" t="s">
        <v>6</v>
      </c>
      <c r="J415" s="1" t="s">
        <v>17</v>
      </c>
      <c r="K415" s="1" t="s">
        <v>18</v>
      </c>
      <c r="L415" s="1" t="s">
        <v>19</v>
      </c>
      <c r="M415" s="1" t="s">
        <v>20</v>
      </c>
      <c r="N415" s="1" t="s">
        <v>21</v>
      </c>
      <c r="O415" s="1" t="s">
        <v>57</v>
      </c>
    </row>
    <row r="416" spans="1:15" x14ac:dyDescent="0.35">
      <c r="A416" s="9" t="s">
        <v>14</v>
      </c>
      <c r="B416" t="s">
        <v>23</v>
      </c>
      <c r="C416">
        <v>-5.2299999999999999E-2</v>
      </c>
      <c r="D416">
        <v>0.14249999999999999</v>
      </c>
      <c r="E416">
        <v>-4.6771000000000003</v>
      </c>
      <c r="F416">
        <v>-5.6099999999999997E-2</v>
      </c>
      <c r="G416">
        <v>-11.17</v>
      </c>
      <c r="H416">
        <v>1.2298</v>
      </c>
      <c r="I416">
        <v>-2.3E-3</v>
      </c>
      <c r="J416">
        <v>-5.3800000000000001E-2</v>
      </c>
      <c r="K416">
        <v>-1.6676</v>
      </c>
      <c r="L416">
        <v>16217410</v>
      </c>
      <c r="M416">
        <v>7910420</v>
      </c>
      <c r="N416">
        <v>-3.1E-2</v>
      </c>
      <c r="O416">
        <v>-5.45</v>
      </c>
    </row>
    <row r="417" spans="2:15" x14ac:dyDescent="0.35">
      <c r="B417" t="s">
        <v>25</v>
      </c>
      <c r="C417">
        <v>9.0200000000000002E-2</v>
      </c>
      <c r="D417">
        <v>0.25509999999999999</v>
      </c>
      <c r="E417">
        <v>4.3968999999999996</v>
      </c>
      <c r="F417">
        <v>-3.4500000000000003E-2</v>
      </c>
      <c r="G417">
        <v>14.38</v>
      </c>
      <c r="H417">
        <v>1.2062999999999999</v>
      </c>
      <c r="I417">
        <v>4.7999999999999996E-3</v>
      </c>
      <c r="J417">
        <v>1.2999999999999999E-3</v>
      </c>
      <c r="K417">
        <v>-1.3871</v>
      </c>
      <c r="L417">
        <v>19526310</v>
      </c>
      <c r="M417">
        <v>-13991460</v>
      </c>
      <c r="N417">
        <v>-1.6400000000000001E-2</v>
      </c>
      <c r="O417">
        <v>-1.71</v>
      </c>
    </row>
    <row r="418" spans="2:15" x14ac:dyDescent="0.35">
      <c r="B418" t="s">
        <v>26</v>
      </c>
      <c r="C418">
        <v>5.3499999999999999E-2</v>
      </c>
      <c r="D418">
        <v>0.19489999999999999</v>
      </c>
      <c r="E418">
        <v>3.464</v>
      </c>
      <c r="F418">
        <v>-3.7699999999999997E-2</v>
      </c>
      <c r="G418">
        <v>9.6</v>
      </c>
      <c r="H418">
        <v>0.9728</v>
      </c>
      <c r="I418">
        <v>3.0000000000000001E-3</v>
      </c>
      <c r="J418">
        <v>-2.1000000000000001E-2</v>
      </c>
      <c r="K418">
        <v>-0.73799999999999999</v>
      </c>
      <c r="L418">
        <v>325580</v>
      </c>
      <c r="M418">
        <v>-5473900</v>
      </c>
      <c r="N418">
        <v>-2.1000000000000001E-2</v>
      </c>
      <c r="O418">
        <v>-1.79</v>
      </c>
    </row>
    <row r="419" spans="2:15" x14ac:dyDescent="0.35">
      <c r="B419" t="s">
        <v>46</v>
      </c>
      <c r="C419">
        <v>-0.1128</v>
      </c>
      <c r="D419">
        <v>0.47410000000000002</v>
      </c>
      <c r="E419">
        <v>-2.9352999999999998</v>
      </c>
      <c r="F419">
        <v>-0.1711</v>
      </c>
      <c r="G419">
        <v>-8.51</v>
      </c>
      <c r="H419">
        <v>2.8033999999999999</v>
      </c>
      <c r="I419">
        <v>-4.5999999999999999E-3</v>
      </c>
      <c r="J419">
        <v>-0.1711</v>
      </c>
      <c r="K419">
        <v>0.28360000000000002</v>
      </c>
      <c r="L419">
        <v>-880730</v>
      </c>
      <c r="M419">
        <v>-1467040</v>
      </c>
      <c r="N419">
        <v>-5.8999999999999997E-2</v>
      </c>
      <c r="O419">
        <v>-16.54</v>
      </c>
    </row>
    <row r="420" spans="2:15" x14ac:dyDescent="0.35">
      <c r="B420" t="s">
        <v>70</v>
      </c>
      <c r="C420">
        <v>7.85E-2</v>
      </c>
      <c r="D420">
        <v>0.46939999999999998</v>
      </c>
      <c r="E420">
        <v>2.2488999999999999</v>
      </c>
      <c r="F420">
        <v>-6.88E-2</v>
      </c>
      <c r="G420">
        <v>33.71</v>
      </c>
      <c r="H420">
        <v>2.4809999999999999</v>
      </c>
      <c r="I420">
        <v>5.0000000000000001E-3</v>
      </c>
      <c r="J420">
        <v>-3.1899999999999998E-2</v>
      </c>
      <c r="K420">
        <v>-0.31380000000000002</v>
      </c>
      <c r="L420">
        <v>-106090</v>
      </c>
      <c r="M420">
        <v>-97060</v>
      </c>
      <c r="N420">
        <v>-2.52E-2</v>
      </c>
      <c r="O420">
        <v>-4.5199999999999996</v>
      </c>
    </row>
    <row r="421" spans="2:15" x14ac:dyDescent="0.35">
      <c r="B421" t="s">
        <v>27</v>
      </c>
      <c r="C421">
        <v>-3.8800000000000001E-2</v>
      </c>
      <c r="D421">
        <v>0.34129999999999999</v>
      </c>
      <c r="E421">
        <v>-1.2889999999999999</v>
      </c>
      <c r="F421">
        <v>-8.2699999999999996E-2</v>
      </c>
      <c r="G421">
        <v>-8.66</v>
      </c>
      <c r="H421">
        <v>2.5131999999999999</v>
      </c>
      <c r="I421">
        <v>-8.9999999999999998E-4</v>
      </c>
      <c r="J421">
        <v>-7.2099999999999997E-2</v>
      </c>
      <c r="K421">
        <v>-1.9411</v>
      </c>
      <c r="L421">
        <v>26216110</v>
      </c>
      <c r="M421">
        <v>5742480</v>
      </c>
      <c r="N421">
        <v>-6.0499999999999998E-2</v>
      </c>
      <c r="O421">
        <v>-7.75</v>
      </c>
    </row>
    <row r="422" spans="2:15" x14ac:dyDescent="0.35">
      <c r="B422" t="s">
        <v>74</v>
      </c>
      <c r="C422">
        <v>4.8899999999999999E-2</v>
      </c>
      <c r="D422">
        <v>0.26629999999999998</v>
      </c>
      <c r="E422">
        <v>2.3896999999999999</v>
      </c>
      <c r="F422">
        <v>-4.6199999999999998E-2</v>
      </c>
      <c r="G422">
        <v>13.46</v>
      </c>
      <c r="H422">
        <v>1.3609</v>
      </c>
      <c r="I422">
        <v>3.0000000000000001E-3</v>
      </c>
      <c r="J422">
        <v>-5.3E-3</v>
      </c>
      <c r="K422">
        <v>-0.8659</v>
      </c>
      <c r="L422">
        <v>2173730</v>
      </c>
      <c r="M422">
        <v>-2241220</v>
      </c>
      <c r="N422">
        <v>-2.2700000000000001E-2</v>
      </c>
      <c r="O422">
        <v>-1.92</v>
      </c>
    </row>
    <row r="423" spans="2:15" x14ac:dyDescent="0.35">
      <c r="B423" t="s">
        <v>30</v>
      </c>
      <c r="C423">
        <v>-5.8500000000000003E-2</v>
      </c>
      <c r="D423">
        <v>0.23119999999999999</v>
      </c>
      <c r="E423">
        <v>-3.1711</v>
      </c>
      <c r="F423">
        <v>-8.1000000000000003E-2</v>
      </c>
      <c r="G423">
        <v>-1.46</v>
      </c>
      <c r="H423">
        <v>0.29709999999999998</v>
      </c>
      <c r="I423">
        <v>-2.8E-3</v>
      </c>
      <c r="J423">
        <v>-5.2400000000000002E-2</v>
      </c>
      <c r="K423">
        <v>1.5527</v>
      </c>
      <c r="L423">
        <v>6467310</v>
      </c>
      <c r="M423">
        <v>-5498340</v>
      </c>
      <c r="N423">
        <v>-1.47E-2</v>
      </c>
      <c r="O423">
        <v>-3.37</v>
      </c>
    </row>
    <row r="424" spans="2:15" x14ac:dyDescent="0.35">
      <c r="B424" t="s">
        <v>24</v>
      </c>
      <c r="C424">
        <v>5.0700000000000002E-2</v>
      </c>
      <c r="D424">
        <v>0.17780000000000001</v>
      </c>
      <c r="E424">
        <v>3.5891999999999999</v>
      </c>
      <c r="F424">
        <v>-1.7600000000000001E-2</v>
      </c>
      <c r="G424">
        <v>25.27</v>
      </c>
      <c r="H424">
        <v>0.56889999999999996</v>
      </c>
      <c r="I424">
        <v>2.7000000000000001E-3</v>
      </c>
      <c r="J424">
        <v>2.0199999999999999E-2</v>
      </c>
      <c r="K424">
        <v>-1.1526000000000001</v>
      </c>
      <c r="L424">
        <v>6444330</v>
      </c>
      <c r="M424">
        <v>-11479160</v>
      </c>
      <c r="N424">
        <v>9.4999999999999998E-3</v>
      </c>
      <c r="O424">
        <v>2.27</v>
      </c>
    </row>
    <row r="425" spans="2:15" x14ac:dyDescent="0.35">
      <c r="B425" t="s">
        <v>33</v>
      </c>
      <c r="C425">
        <v>1.2999999999999999E-3</v>
      </c>
      <c r="D425">
        <v>0.1489</v>
      </c>
      <c r="E425">
        <v>0.18290000000000001</v>
      </c>
      <c r="F425">
        <v>-4.9799999999999997E-2</v>
      </c>
      <c r="G425">
        <v>0.13</v>
      </c>
      <c r="H425">
        <v>-0.31009999999999999</v>
      </c>
      <c r="I425">
        <v>0</v>
      </c>
      <c r="J425">
        <v>1.0500000000000001E-2</v>
      </c>
      <c r="K425">
        <v>0.59989999999999999</v>
      </c>
      <c r="L425">
        <v>1051520</v>
      </c>
      <c r="M425">
        <v>122160</v>
      </c>
      <c r="N425">
        <v>5.0000000000000001E-3</v>
      </c>
      <c r="O425">
        <v>0.9</v>
      </c>
    </row>
    <row r="426" spans="2:15" x14ac:dyDescent="0.35">
      <c r="B426" t="s">
        <v>34</v>
      </c>
      <c r="C426">
        <v>0.03</v>
      </c>
      <c r="D426">
        <v>0.14119999999999999</v>
      </c>
      <c r="E426">
        <v>2.7025999999999999</v>
      </c>
      <c r="F426">
        <v>-2.4500000000000001E-2</v>
      </c>
      <c r="G426">
        <v>8.81</v>
      </c>
      <c r="H426">
        <v>4.3799999999999999E-2</v>
      </c>
      <c r="I426">
        <v>1.5E-3</v>
      </c>
      <c r="J426">
        <v>1.4800000000000001E-2</v>
      </c>
      <c r="K426">
        <v>0.79169999999999996</v>
      </c>
      <c r="L426">
        <v>103950</v>
      </c>
      <c r="M426">
        <v>-65200</v>
      </c>
      <c r="N426">
        <v>4.0000000000000001E-3</v>
      </c>
      <c r="O426">
        <v>1.23</v>
      </c>
    </row>
    <row r="427" spans="2:15" x14ac:dyDescent="0.35">
      <c r="B427" t="s">
        <v>68</v>
      </c>
      <c r="C427">
        <v>8.6599999999999996E-2</v>
      </c>
      <c r="D427">
        <v>0.19370000000000001</v>
      </c>
      <c r="E427">
        <v>5.5023</v>
      </c>
      <c r="F427">
        <v>-2.35E-2</v>
      </c>
      <c r="G427">
        <v>22.24</v>
      </c>
      <c r="H427">
        <v>6.6199999999999995E-2</v>
      </c>
      <c r="I427">
        <v>4.3E-3</v>
      </c>
      <c r="J427">
        <v>1.47E-2</v>
      </c>
      <c r="K427">
        <v>1.4484999999999999</v>
      </c>
      <c r="L427">
        <v>150420</v>
      </c>
      <c r="M427">
        <v>2360</v>
      </c>
      <c r="N427">
        <v>1.18E-2</v>
      </c>
      <c r="O427">
        <v>2.08</v>
      </c>
    </row>
    <row r="428" spans="2:15" x14ac:dyDescent="0.35">
      <c r="B428" t="s">
        <v>28</v>
      </c>
      <c r="C428">
        <v>-0.22939999999999999</v>
      </c>
      <c r="D428">
        <v>0.44009999999999999</v>
      </c>
      <c r="E428">
        <v>-7.1976000000000004</v>
      </c>
      <c r="F428">
        <v>-0.22939999999999999</v>
      </c>
      <c r="G428">
        <v>-70.78</v>
      </c>
      <c r="H428">
        <v>2.4051999999999998</v>
      </c>
      <c r="I428">
        <v>-1.18E-2</v>
      </c>
      <c r="J428">
        <v>-0.154</v>
      </c>
      <c r="K428">
        <v>-0.40710000000000002</v>
      </c>
      <c r="L428">
        <v>3614370</v>
      </c>
      <c r="M428">
        <v>2799080</v>
      </c>
      <c r="N428">
        <v>-8.3099999999999993E-2</v>
      </c>
      <c r="O428">
        <v>-15.72</v>
      </c>
    </row>
    <row r="429" spans="2:15" x14ac:dyDescent="0.35">
      <c r="B429" t="s">
        <v>44</v>
      </c>
      <c r="C429">
        <v>-2.24E-2</v>
      </c>
      <c r="D429">
        <v>0.19839999999999999</v>
      </c>
      <c r="E429">
        <v>-1.3426</v>
      </c>
      <c r="F429">
        <v>-4.4699999999999997E-2</v>
      </c>
      <c r="G429">
        <v>-6.63</v>
      </c>
      <c r="H429">
        <v>1.6651</v>
      </c>
      <c r="I429">
        <v>-5.0000000000000001E-4</v>
      </c>
      <c r="J429">
        <v>-3.1E-2</v>
      </c>
      <c r="K429">
        <v>-1.5936999999999999</v>
      </c>
      <c r="L429">
        <v>1944520</v>
      </c>
      <c r="M429">
        <v>-1541740</v>
      </c>
      <c r="N429">
        <v>-2.2800000000000001E-2</v>
      </c>
      <c r="O429">
        <v>-2.99</v>
      </c>
    </row>
    <row r="430" spans="2:15" x14ac:dyDescent="0.35">
      <c r="B430" t="s">
        <v>49</v>
      </c>
      <c r="C430">
        <v>-0.15670000000000001</v>
      </c>
      <c r="D430">
        <v>0.51019999999999999</v>
      </c>
      <c r="E430">
        <v>-3.9291999999999998</v>
      </c>
      <c r="F430">
        <v>-0.17660000000000001</v>
      </c>
      <c r="G430">
        <v>-33.61</v>
      </c>
      <c r="H430">
        <v>-1.6748000000000001</v>
      </c>
      <c r="I430">
        <v>-8.5000000000000006E-3</v>
      </c>
      <c r="J430">
        <v>-1.5299999999999999E-2</v>
      </c>
      <c r="K430">
        <v>8.4699999999999998E-2</v>
      </c>
      <c r="L430">
        <v>-92650</v>
      </c>
      <c r="M430">
        <v>-1087700</v>
      </c>
      <c r="N430">
        <v>-2.5499999999999998E-2</v>
      </c>
      <c r="O430">
        <v>-3.74</v>
      </c>
    </row>
    <row r="431" spans="2:15" x14ac:dyDescent="0.35">
      <c r="B431" t="s">
        <v>67</v>
      </c>
      <c r="C431">
        <v>8.8999999999999999E-3</v>
      </c>
      <c r="D431">
        <v>0.29039999999999999</v>
      </c>
      <c r="E431">
        <v>0.52549999999999997</v>
      </c>
      <c r="F431">
        <v>-5.8799999999999998E-2</v>
      </c>
      <c r="G431">
        <v>9.65</v>
      </c>
      <c r="H431">
        <v>1.9238999999999999</v>
      </c>
      <c r="I431">
        <v>1.1999999999999999E-3</v>
      </c>
      <c r="J431">
        <v>-2.8000000000000001E-2</v>
      </c>
      <c r="K431">
        <v>-1.3714999999999999</v>
      </c>
      <c r="L431">
        <v>82420</v>
      </c>
      <c r="M431">
        <v>55300</v>
      </c>
      <c r="N431">
        <v>-1.67E-2</v>
      </c>
      <c r="O431">
        <v>-2.33</v>
      </c>
    </row>
    <row r="432" spans="2:15" x14ac:dyDescent="0.35">
      <c r="B432" t="s">
        <v>80</v>
      </c>
      <c r="C432">
        <v>-3.2599999999999997E-2</v>
      </c>
      <c r="D432">
        <v>0.1205</v>
      </c>
      <c r="E432">
        <v>-3.4022000000000001</v>
      </c>
      <c r="F432">
        <v>-3.2599999999999997E-2</v>
      </c>
      <c r="G432">
        <v>-2.2599999999999998</v>
      </c>
      <c r="H432">
        <v>1.0269999999999999</v>
      </c>
      <c r="I432">
        <v>-1.2999999999999999E-3</v>
      </c>
      <c r="J432">
        <v>-2.3E-2</v>
      </c>
      <c r="K432">
        <v>-1.3533999999999999</v>
      </c>
      <c r="L432">
        <v>544760</v>
      </c>
      <c r="M432">
        <v>2255760</v>
      </c>
      <c r="N432">
        <v>-1.12E-2</v>
      </c>
      <c r="O432">
        <v>-1.19</v>
      </c>
    </row>
    <row r="433" spans="1:15" x14ac:dyDescent="0.35">
      <c r="B433" t="s">
        <v>66</v>
      </c>
      <c r="C433">
        <v>8.14E-2</v>
      </c>
      <c r="D433">
        <v>0.20219999999999999</v>
      </c>
      <c r="E433">
        <v>4.9839000000000002</v>
      </c>
      <c r="F433">
        <v>-2.1299999999999999E-2</v>
      </c>
      <c r="G433">
        <v>32.28</v>
      </c>
      <c r="H433">
        <v>1.9345000000000001</v>
      </c>
      <c r="I433">
        <v>4.5999999999999999E-3</v>
      </c>
      <c r="J433">
        <v>-1.17E-2</v>
      </c>
      <c r="K433">
        <v>-1.6734</v>
      </c>
      <c r="L433">
        <v>468670</v>
      </c>
      <c r="M433">
        <v>-160100</v>
      </c>
      <c r="N433">
        <v>-9.4000000000000004E-3</v>
      </c>
      <c r="O433">
        <v>-0.98</v>
      </c>
    </row>
    <row r="434" spans="1:15" x14ac:dyDescent="0.35">
      <c r="B434" t="s">
        <v>84</v>
      </c>
      <c r="C434">
        <v>-0.2072</v>
      </c>
      <c r="D434">
        <v>0.28720000000000001</v>
      </c>
      <c r="E434">
        <v>-9.9908999999999999</v>
      </c>
      <c r="F434">
        <v>-0.2072</v>
      </c>
      <c r="G434">
        <v>-14.63</v>
      </c>
      <c r="H434">
        <v>0.98839999999999995</v>
      </c>
      <c r="I434">
        <v>-1.11E-2</v>
      </c>
      <c r="J434">
        <v>-7.8100000000000003E-2</v>
      </c>
      <c r="K434">
        <v>0.83750000000000002</v>
      </c>
      <c r="L434">
        <v>498370</v>
      </c>
      <c r="M434">
        <v>-464020</v>
      </c>
      <c r="N434">
        <v>-3.4599999999999999E-2</v>
      </c>
      <c r="O434">
        <v>-7.1</v>
      </c>
    </row>
    <row r="435" spans="1:15" x14ac:dyDescent="0.35">
      <c r="B435" t="s">
        <v>36</v>
      </c>
      <c r="C435">
        <v>-7.8700000000000006E-2</v>
      </c>
      <c r="D435">
        <v>0.21240000000000001</v>
      </c>
      <c r="E435">
        <v>-4.7495000000000003</v>
      </c>
      <c r="F435">
        <v>-8.3699999999999997E-2</v>
      </c>
      <c r="G435">
        <v>-21.41</v>
      </c>
      <c r="H435">
        <v>1.4984</v>
      </c>
      <c r="I435">
        <v>-3.5000000000000001E-3</v>
      </c>
      <c r="J435">
        <v>-6.83E-2</v>
      </c>
      <c r="K435">
        <v>-1.2939000000000001</v>
      </c>
      <c r="L435">
        <v>842440</v>
      </c>
      <c r="M435">
        <v>242700</v>
      </c>
      <c r="N435">
        <v>-4.41E-2</v>
      </c>
      <c r="O435">
        <v>-7.22</v>
      </c>
    </row>
    <row r="437" spans="1:15" x14ac:dyDescent="0.35">
      <c r="A437" s="3"/>
      <c r="B437" s="3"/>
      <c r="C437" s="3"/>
      <c r="D437" s="3"/>
      <c r="E437" s="3"/>
      <c r="F437" s="3"/>
      <c r="G437" s="3" t="s">
        <v>117</v>
      </c>
      <c r="H437" s="3"/>
      <c r="I437" s="3"/>
      <c r="J437" s="3"/>
      <c r="K437" s="3"/>
      <c r="L437" s="3"/>
      <c r="M437" s="3"/>
      <c r="N437" s="3"/>
      <c r="O437" s="3"/>
    </row>
    <row r="440" spans="1:15" ht="29" x14ac:dyDescent="0.35">
      <c r="A440" s="1" t="s">
        <v>16</v>
      </c>
      <c r="B440" s="1" t="s">
        <v>12</v>
      </c>
      <c r="C440" s="1" t="s">
        <v>22</v>
      </c>
      <c r="D440" s="1" t="s">
        <v>3</v>
      </c>
      <c r="E440" s="1" t="s">
        <v>4</v>
      </c>
      <c r="F440" s="1" t="s">
        <v>7</v>
      </c>
      <c r="G440" s="1" t="s">
        <v>8</v>
      </c>
      <c r="H440" s="1" t="s">
        <v>5</v>
      </c>
      <c r="I440" s="1" t="s">
        <v>6</v>
      </c>
      <c r="J440" s="1" t="s">
        <v>17</v>
      </c>
      <c r="K440" s="1" t="s">
        <v>18</v>
      </c>
      <c r="L440" s="1" t="s">
        <v>19</v>
      </c>
      <c r="M440" s="1" t="s">
        <v>20</v>
      </c>
      <c r="N440" s="1" t="s">
        <v>21</v>
      </c>
    </row>
    <row r="441" spans="1:15" x14ac:dyDescent="0.35">
      <c r="A441" s="9" t="s">
        <v>15</v>
      </c>
      <c r="B441" t="s">
        <v>23</v>
      </c>
      <c r="C441">
        <v>-3.6055999999999998E-2</v>
      </c>
      <c r="D441">
        <v>0.13581199999999999</v>
      </c>
      <c r="E441">
        <v>-3.517919</v>
      </c>
      <c r="F441">
        <v>-5.6063000000000002E-2</v>
      </c>
      <c r="G441">
        <v>-7.5699920000000001</v>
      </c>
      <c r="H441">
        <v>1.1467419999999999</v>
      </c>
      <c r="I441">
        <v>-1.9880000000000002E-3</v>
      </c>
      <c r="J441">
        <v>-5.3800000000000001E-2</v>
      </c>
      <c r="K441">
        <v>-1.6676</v>
      </c>
      <c r="L441">
        <v>16243970</v>
      </c>
      <c r="M441">
        <v>7963540</v>
      </c>
      <c r="N441">
        <v>-3.1E-2</v>
      </c>
    </row>
    <row r="442" spans="1:15" x14ac:dyDescent="0.35">
      <c r="B442" t="s">
        <v>25</v>
      </c>
      <c r="C442">
        <v>9.7825999999999996E-2</v>
      </c>
      <c r="D442">
        <v>0.25847500000000001</v>
      </c>
      <c r="E442">
        <v>4.9227379999999998</v>
      </c>
      <c r="F442">
        <v>-3.4508999999999998E-2</v>
      </c>
      <c r="G442">
        <v>15.479996</v>
      </c>
      <c r="H442">
        <v>1.16838</v>
      </c>
      <c r="I442">
        <v>4.9550000000000002E-3</v>
      </c>
      <c r="J442">
        <v>1.2999999999999999E-3</v>
      </c>
      <c r="K442">
        <v>-1.3871</v>
      </c>
      <c r="L442">
        <v>19661890</v>
      </c>
      <c r="M442">
        <v>-13720300</v>
      </c>
      <c r="N442">
        <v>-1.6400000000000001E-2</v>
      </c>
    </row>
    <row r="443" spans="1:15" x14ac:dyDescent="0.35">
      <c r="B443" t="s">
        <v>26</v>
      </c>
      <c r="C443">
        <v>6.9800000000000001E-2</v>
      </c>
      <c r="D443">
        <v>0.18806800000000001</v>
      </c>
      <c r="E443">
        <v>4.855925</v>
      </c>
      <c r="F443">
        <v>-3.7652999999999999E-2</v>
      </c>
      <c r="G443">
        <v>12.340012</v>
      </c>
      <c r="H443">
        <v>0.79424099999999997</v>
      </c>
      <c r="I443">
        <v>3.5599999999999998E-3</v>
      </c>
      <c r="J443">
        <v>-2.1000000000000001E-2</v>
      </c>
      <c r="K443">
        <v>-0.73799999999999999</v>
      </c>
      <c r="L443">
        <v>332540</v>
      </c>
      <c r="M443">
        <v>-5459980</v>
      </c>
      <c r="N443">
        <v>-2.1000000000000001E-2</v>
      </c>
    </row>
    <row r="444" spans="1:15" x14ac:dyDescent="0.35">
      <c r="B444" t="s">
        <v>24</v>
      </c>
      <c r="C444">
        <v>5.3022E-2</v>
      </c>
      <c r="D444">
        <v>0.18176899999999999</v>
      </c>
      <c r="E444">
        <v>3.859807</v>
      </c>
      <c r="F444">
        <v>-1.7600999999999999E-2</v>
      </c>
      <c r="G444">
        <v>26.389983999999998</v>
      </c>
      <c r="H444">
        <v>0.56068399999999996</v>
      </c>
      <c r="I444">
        <v>2.7390000000000001E-3</v>
      </c>
      <c r="J444">
        <v>2.0199999999999999E-2</v>
      </c>
      <c r="K444">
        <v>-1.1526000000000001</v>
      </c>
      <c r="L444">
        <v>6448730</v>
      </c>
      <c r="M444">
        <v>-11470360</v>
      </c>
      <c r="N444">
        <v>9.4999999999999998E-3</v>
      </c>
    </row>
    <row r="445" spans="1:15" x14ac:dyDescent="0.35">
      <c r="B445" t="s">
        <v>27</v>
      </c>
      <c r="C445">
        <v>-3.9021E-2</v>
      </c>
      <c r="D445">
        <v>0.35056599999999999</v>
      </c>
      <c r="E445">
        <v>-1.3310900000000001</v>
      </c>
      <c r="F445">
        <v>-8.2696000000000006E-2</v>
      </c>
      <c r="G445">
        <v>-8.7200009999999999</v>
      </c>
      <c r="H445">
        <v>2.866438</v>
      </c>
      <c r="I445">
        <v>-2.0820000000000001E-3</v>
      </c>
      <c r="J445">
        <v>-7.2099999999999997E-2</v>
      </c>
      <c r="K445">
        <v>-1.9411</v>
      </c>
      <c r="L445">
        <v>26255850</v>
      </c>
      <c r="M445">
        <v>5821960</v>
      </c>
      <c r="N445">
        <v>-6.0499999999999998E-2</v>
      </c>
    </row>
    <row r="446" spans="1:15" x14ac:dyDescent="0.35">
      <c r="B446" t="s">
        <v>74</v>
      </c>
      <c r="C446">
        <v>5.2739000000000001E-2</v>
      </c>
      <c r="D446">
        <v>0.27252900000000002</v>
      </c>
      <c r="E446">
        <v>2.6344270000000001</v>
      </c>
      <c r="F446">
        <v>-4.6196000000000001E-2</v>
      </c>
      <c r="G446">
        <v>14.460022</v>
      </c>
      <c r="H446">
        <v>1.430059</v>
      </c>
      <c r="I446">
        <v>2.7339999999999999E-3</v>
      </c>
      <c r="J446">
        <v>-5.3E-3</v>
      </c>
      <c r="K446">
        <v>-0.8659</v>
      </c>
      <c r="L446">
        <v>2176710</v>
      </c>
      <c r="M446">
        <v>-2235260</v>
      </c>
      <c r="N446">
        <v>-2.2700000000000001E-2</v>
      </c>
    </row>
    <row r="447" spans="1:15" x14ac:dyDescent="0.35">
      <c r="B447" t="s">
        <v>30</v>
      </c>
      <c r="C447">
        <v>-5.3275999999999997E-2</v>
      </c>
      <c r="D447">
        <v>0.237291</v>
      </c>
      <c r="E447">
        <v>-2.9435169999999999</v>
      </c>
      <c r="F447">
        <v>-8.0998000000000001E-2</v>
      </c>
      <c r="G447">
        <v>-1.3218650000000001</v>
      </c>
      <c r="H447">
        <v>0.29091499999999998</v>
      </c>
      <c r="I447">
        <v>-2.7950000000000002E-3</v>
      </c>
      <c r="J447">
        <v>-5.2400000000000002E-2</v>
      </c>
      <c r="K447">
        <v>1.5527</v>
      </c>
      <c r="L447">
        <v>6474070</v>
      </c>
      <c r="M447">
        <v>-5484820</v>
      </c>
      <c r="N447">
        <v>-1.47E-2</v>
      </c>
    </row>
    <row r="448" spans="1:15" x14ac:dyDescent="0.35">
      <c r="B448" t="s">
        <v>70</v>
      </c>
      <c r="C448">
        <v>0.10589899999999999</v>
      </c>
      <c r="D448">
        <v>0.46931800000000001</v>
      </c>
      <c r="E448">
        <v>3.0675650000000001</v>
      </c>
      <c r="F448">
        <v>-6.8804000000000004E-2</v>
      </c>
      <c r="G448">
        <v>44.339995999999999</v>
      </c>
      <c r="H448">
        <v>2.3088199999999999</v>
      </c>
      <c r="I448">
        <v>5.5279999999999999E-3</v>
      </c>
      <c r="J448">
        <v>-3.1899999999999998E-2</v>
      </c>
      <c r="K448">
        <v>-0.31380000000000002</v>
      </c>
      <c r="L448">
        <v>-106090</v>
      </c>
      <c r="M448">
        <v>-97060</v>
      </c>
      <c r="N448">
        <v>-2.52E-2</v>
      </c>
    </row>
    <row r="449" spans="1:21" x14ac:dyDescent="0.35">
      <c r="B449" t="s">
        <v>33</v>
      </c>
      <c r="C449">
        <v>-8.6560000000000005E-3</v>
      </c>
      <c r="D449">
        <v>0.14815700000000001</v>
      </c>
      <c r="E449">
        <v>-0.70750599999999997</v>
      </c>
      <c r="F449">
        <v>-4.9824E-2</v>
      </c>
      <c r="G449">
        <v>-0.86000100000000002</v>
      </c>
      <c r="H449">
        <v>-0.18187900000000001</v>
      </c>
      <c r="I449">
        <v>-4.0099999999999999E-4</v>
      </c>
      <c r="J449">
        <v>1.0500000000000001E-2</v>
      </c>
      <c r="K449">
        <v>0.59989999999999999</v>
      </c>
      <c r="L449">
        <v>1053160</v>
      </c>
      <c r="M449">
        <v>125440</v>
      </c>
      <c r="N449">
        <v>5.0000000000000001E-3</v>
      </c>
    </row>
    <row r="450" spans="1:21" x14ac:dyDescent="0.35">
      <c r="B450" t="s">
        <v>28</v>
      </c>
      <c r="C450">
        <v>-0.217115</v>
      </c>
      <c r="D450">
        <v>0.45197799999999999</v>
      </c>
      <c r="E450">
        <v>-6.916671</v>
      </c>
      <c r="F450">
        <v>-0.227267</v>
      </c>
      <c r="G450">
        <v>-65.939987000000002</v>
      </c>
      <c r="H450">
        <v>2.6583399999999999</v>
      </c>
      <c r="I450">
        <v>-1.2619E-2</v>
      </c>
      <c r="J450">
        <v>-0.154</v>
      </c>
      <c r="K450">
        <v>-0.40710000000000002</v>
      </c>
      <c r="L450">
        <v>3632050</v>
      </c>
      <c r="M450">
        <v>2834440</v>
      </c>
      <c r="N450">
        <v>-8.3099999999999993E-2</v>
      </c>
    </row>
    <row r="451" spans="1:21" x14ac:dyDescent="0.35">
      <c r="B451" t="s">
        <v>63</v>
      </c>
      <c r="C451">
        <v>-0.10159600000000001</v>
      </c>
      <c r="D451">
        <v>0.293794</v>
      </c>
      <c r="E451">
        <v>-4.681616</v>
      </c>
      <c r="F451">
        <v>-0.10159600000000001</v>
      </c>
      <c r="G451">
        <v>-131.02001999999999</v>
      </c>
      <c r="H451">
        <v>0.26212400000000002</v>
      </c>
      <c r="I451">
        <v>-5.4790000000000004E-3</v>
      </c>
      <c r="J451">
        <v>-1.8499999999999999E-2</v>
      </c>
      <c r="K451">
        <v>0.27350000000000002</v>
      </c>
      <c r="L451">
        <v>184840</v>
      </c>
      <c r="M451">
        <v>176100</v>
      </c>
      <c r="N451">
        <v>-8.9999999999999993E-3</v>
      </c>
    </row>
    <row r="452" spans="1:21" x14ac:dyDescent="0.35">
      <c r="B452" t="s">
        <v>68</v>
      </c>
      <c r="C452">
        <v>8.8881000000000002E-2</v>
      </c>
      <c r="D452">
        <v>0.19750200000000001</v>
      </c>
      <c r="E452">
        <v>5.824217</v>
      </c>
      <c r="F452">
        <v>-2.3481999999999999E-2</v>
      </c>
      <c r="G452">
        <v>22.790009000000001</v>
      </c>
      <c r="H452">
        <v>-3.2601999999999999E-2</v>
      </c>
      <c r="I452">
        <v>4.5669999999999999E-3</v>
      </c>
      <c r="J452">
        <v>1.47E-2</v>
      </c>
      <c r="K452">
        <v>1.4484999999999999</v>
      </c>
      <c r="L452">
        <v>150420</v>
      </c>
      <c r="M452">
        <v>2360</v>
      </c>
      <c r="N452">
        <v>1.18E-2</v>
      </c>
    </row>
    <row r="453" spans="1:21" x14ac:dyDescent="0.35">
      <c r="B453" t="s">
        <v>93</v>
      </c>
      <c r="C453">
        <v>-1.2723999999999999E-2</v>
      </c>
      <c r="D453">
        <v>0.32652399999999998</v>
      </c>
      <c r="E453">
        <v>-0.36527799999999999</v>
      </c>
      <c r="F453">
        <v>-8.4862000000000007E-2</v>
      </c>
      <c r="G453">
        <v>-2.540009</v>
      </c>
      <c r="H453">
        <v>1.3890309999999999</v>
      </c>
      <c r="I453">
        <v>-5.8500000000000002E-4</v>
      </c>
      <c r="J453">
        <v>-4.0800000000000003E-2</v>
      </c>
      <c r="K453">
        <v>0.44950000000000001</v>
      </c>
      <c r="L453">
        <v>224000</v>
      </c>
      <c r="M453">
        <v>-236220</v>
      </c>
      <c r="N453">
        <v>-2.24E-2</v>
      </c>
    </row>
    <row r="454" spans="1:21" x14ac:dyDescent="0.35">
      <c r="B454" t="s">
        <v>80</v>
      </c>
      <c r="C454">
        <v>-2.6404E-2</v>
      </c>
      <c r="D454">
        <v>0.122505</v>
      </c>
      <c r="E454">
        <v>-2.8369200000000001</v>
      </c>
      <c r="F454">
        <v>-3.1182000000000001E-2</v>
      </c>
      <c r="G454">
        <v>-1.82</v>
      </c>
      <c r="H454">
        <v>1.0781160000000001</v>
      </c>
      <c r="I454">
        <v>-1.4660000000000001E-3</v>
      </c>
      <c r="J454">
        <v>-2.3E-2</v>
      </c>
      <c r="K454">
        <v>-1.3533999999999999</v>
      </c>
      <c r="L454">
        <v>545060</v>
      </c>
      <c r="M454">
        <v>2256360</v>
      </c>
      <c r="N454">
        <v>-1.12E-2</v>
      </c>
    </row>
    <row r="455" spans="1:21" x14ac:dyDescent="0.35">
      <c r="B455" t="s">
        <v>94</v>
      </c>
      <c r="C455">
        <v>7.7671000000000004E-2</v>
      </c>
      <c r="D455">
        <v>0.27182200000000001</v>
      </c>
      <c r="E455">
        <v>3.7825160000000002</v>
      </c>
      <c r="F455">
        <v>-2.8426E-2</v>
      </c>
      <c r="G455">
        <v>12.059998</v>
      </c>
      <c r="H455">
        <v>0.110982</v>
      </c>
      <c r="I455">
        <v>4.071E-3</v>
      </c>
      <c r="J455">
        <v>-5.7999999999999996E-3</v>
      </c>
      <c r="K455">
        <v>1.3485</v>
      </c>
      <c r="L455">
        <v>519920</v>
      </c>
      <c r="M455">
        <v>-478280</v>
      </c>
      <c r="N455">
        <v>3.5999999999999999E-3</v>
      </c>
    </row>
    <row r="456" spans="1:21" x14ac:dyDescent="0.35">
      <c r="B456" t="s">
        <v>31</v>
      </c>
      <c r="C456">
        <v>-3.0276999999999998E-2</v>
      </c>
      <c r="D456">
        <v>0.16139700000000001</v>
      </c>
      <c r="E456">
        <v>-2.4483350000000002</v>
      </c>
      <c r="F456">
        <v>-4.3937999999999998E-2</v>
      </c>
      <c r="G456">
        <v>-2.1500020000000002</v>
      </c>
      <c r="H456">
        <v>-0.49400899999999998</v>
      </c>
      <c r="I456">
        <v>-1.5280000000000001E-3</v>
      </c>
      <c r="J456">
        <v>-4.4999999999999997E-3</v>
      </c>
      <c r="K456">
        <v>1.0444</v>
      </c>
      <c r="L456">
        <v>584740</v>
      </c>
      <c r="M456">
        <v>209760</v>
      </c>
      <c r="N456">
        <v>3.8999999999999998E-3</v>
      </c>
    </row>
    <row r="457" spans="1:21" x14ac:dyDescent="0.35">
      <c r="B457" t="s">
        <v>35</v>
      </c>
      <c r="C457">
        <v>-2.4957E-2</v>
      </c>
      <c r="D457">
        <v>0.304892</v>
      </c>
      <c r="E457">
        <v>-0.954345</v>
      </c>
      <c r="F457">
        <v>-5.9323000000000001E-2</v>
      </c>
      <c r="G457">
        <v>-1.909996</v>
      </c>
      <c r="H457">
        <v>1.2625679999999999</v>
      </c>
      <c r="I457">
        <v>-1.256E-3</v>
      </c>
      <c r="J457">
        <v>-2.1600000000000001E-2</v>
      </c>
      <c r="K457">
        <v>0.13650000000000001</v>
      </c>
      <c r="L457">
        <v>-1762450</v>
      </c>
      <c r="M457">
        <v>-309480</v>
      </c>
      <c r="N457">
        <v>-2.7300000000000001E-2</v>
      </c>
    </row>
    <row r="459" spans="1:21" ht="29" x14ac:dyDescent="0.35">
      <c r="A459" s="1" t="s">
        <v>16</v>
      </c>
      <c r="B459" s="1" t="s">
        <v>12</v>
      </c>
      <c r="C459" s="1" t="s">
        <v>22</v>
      </c>
      <c r="D459" s="1" t="s">
        <v>3</v>
      </c>
      <c r="E459" s="1" t="s">
        <v>4</v>
      </c>
      <c r="F459" s="1" t="s">
        <v>7</v>
      </c>
      <c r="G459" s="1" t="s">
        <v>8</v>
      </c>
      <c r="H459" s="1" t="s">
        <v>5</v>
      </c>
      <c r="I459" s="1" t="s">
        <v>6</v>
      </c>
      <c r="J459" s="1" t="s">
        <v>17</v>
      </c>
      <c r="K459" s="1" t="s">
        <v>18</v>
      </c>
      <c r="L459" s="1" t="s">
        <v>19</v>
      </c>
      <c r="M459" s="1" t="s">
        <v>20</v>
      </c>
      <c r="N459" s="1" t="s">
        <v>21</v>
      </c>
      <c r="O459" s="1" t="s">
        <v>57</v>
      </c>
    </row>
    <row r="460" spans="1:21" x14ac:dyDescent="0.35">
      <c r="A460" s="9" t="s">
        <v>14</v>
      </c>
      <c r="B460" t="s">
        <v>23</v>
      </c>
      <c r="C460">
        <v>9.9366999999999997E-2</v>
      </c>
      <c r="D460">
        <v>0.29127999999999998</v>
      </c>
      <c r="E460">
        <v>4.4598829999999996</v>
      </c>
      <c r="F460">
        <v>-5.6063000000000002E-2</v>
      </c>
      <c r="G460">
        <v>20.730011000000001</v>
      </c>
      <c r="H460">
        <v>1.524831</v>
      </c>
      <c r="I460">
        <v>3.591E-3</v>
      </c>
      <c r="J460">
        <v>0.1333</v>
      </c>
      <c r="K460">
        <v>0.80869999999999997</v>
      </c>
      <c r="L460">
        <v>12324330</v>
      </c>
      <c r="M460">
        <v>2713760</v>
      </c>
      <c r="N460">
        <v>7.2800000000000004E-2</v>
      </c>
      <c r="O460" s="6">
        <v>8.2000000000000003E-2</v>
      </c>
    </row>
    <row r="461" spans="1:21" x14ac:dyDescent="0.35">
      <c r="B461" t="s">
        <v>25</v>
      </c>
      <c r="C461">
        <v>0.113549</v>
      </c>
      <c r="D461">
        <v>0.28173799999999999</v>
      </c>
      <c r="E461">
        <v>5.2099900000000003</v>
      </c>
      <c r="F461">
        <v>-3.4508999999999998E-2</v>
      </c>
      <c r="G461">
        <v>18.629989999999999</v>
      </c>
      <c r="H461">
        <v>1.4032739999999999</v>
      </c>
      <c r="I461">
        <v>4.3860000000000001E-3</v>
      </c>
      <c r="J461">
        <v>5.1700000000000003E-2</v>
      </c>
      <c r="K461">
        <v>2.9700000000000001E-2</v>
      </c>
      <c r="L461">
        <v>-5534700</v>
      </c>
      <c r="M461">
        <v>-9448620</v>
      </c>
      <c r="N461">
        <v>1.37E-2</v>
      </c>
      <c r="O461" s="6">
        <v>4.3E-3</v>
      </c>
    </row>
    <row r="462" spans="1:21" x14ac:dyDescent="0.35">
      <c r="B462" t="s">
        <v>26</v>
      </c>
      <c r="C462">
        <v>0.109385</v>
      </c>
      <c r="D462">
        <v>0.21138799999999999</v>
      </c>
      <c r="E462">
        <v>6.630547</v>
      </c>
      <c r="F462">
        <v>-3.7652999999999999E-2</v>
      </c>
      <c r="G462">
        <v>19.860001</v>
      </c>
      <c r="H462">
        <v>1.2280979999999999</v>
      </c>
      <c r="I462">
        <v>4.3020000000000003E-3</v>
      </c>
      <c r="J462">
        <v>6.5000000000000002E-2</v>
      </c>
      <c r="K462">
        <v>0.93610000000000004</v>
      </c>
      <c r="L462">
        <v>987170</v>
      </c>
      <c r="M462">
        <v>7117580</v>
      </c>
      <c r="N462">
        <v>2.3699999999999999E-2</v>
      </c>
      <c r="O462" s="6">
        <v>7.6E-3</v>
      </c>
      <c r="P462" s="20"/>
      <c r="Q462" s="20"/>
      <c r="R462" s="20"/>
      <c r="S462" s="20"/>
      <c r="T462" s="20"/>
      <c r="U462" s="20"/>
    </row>
    <row r="463" spans="1:21" x14ac:dyDescent="0.35">
      <c r="B463" t="s">
        <v>24</v>
      </c>
      <c r="C463">
        <v>3.7811999999999998E-2</v>
      </c>
      <c r="D463">
        <v>0.20483299999999999</v>
      </c>
      <c r="E463">
        <v>2.5014029999999998</v>
      </c>
      <c r="F463">
        <v>-2.7629999999999998E-2</v>
      </c>
      <c r="G463">
        <v>19.019988999999999</v>
      </c>
      <c r="H463">
        <v>0.732012</v>
      </c>
      <c r="I463">
        <v>1.2819999999999999E-3</v>
      </c>
      <c r="J463">
        <v>-3.8999999999999998E-3</v>
      </c>
      <c r="K463">
        <v>0.23949999999999999</v>
      </c>
      <c r="L463">
        <v>-2275730</v>
      </c>
      <c r="M463">
        <v>573660</v>
      </c>
      <c r="N463">
        <v>-8.0000000000000002E-3</v>
      </c>
      <c r="O463" s="6">
        <v>-2.76E-2</v>
      </c>
      <c r="P463" s="20"/>
      <c r="Q463" s="20"/>
      <c r="R463" s="20"/>
      <c r="S463" s="20"/>
      <c r="T463" s="20"/>
      <c r="U463" s="20"/>
    </row>
    <row r="464" spans="1:21" x14ac:dyDescent="0.35">
      <c r="B464" t="s">
        <v>27</v>
      </c>
      <c r="C464">
        <v>-1.3292999999999999E-2</v>
      </c>
      <c r="D464">
        <v>0.37519200000000003</v>
      </c>
      <c r="E464">
        <v>-0.28898699999999999</v>
      </c>
      <c r="F464">
        <v>-9.5937999999999996E-2</v>
      </c>
      <c r="G464">
        <v>-3</v>
      </c>
      <c r="H464">
        <v>1.7468319999999999</v>
      </c>
      <c r="I464">
        <v>-2.222E-3</v>
      </c>
      <c r="J464">
        <v>3.6999999999999998E-2</v>
      </c>
      <c r="K464">
        <v>-0.51859999999999995</v>
      </c>
      <c r="L464">
        <v>-10084800</v>
      </c>
      <c r="M464">
        <v>1538780</v>
      </c>
      <c r="N464">
        <v>1.8200000000000001E-2</v>
      </c>
      <c r="O464" s="6">
        <v>5.4199999999999998E-2</v>
      </c>
    </row>
    <row r="465" spans="1:15" x14ac:dyDescent="0.35">
      <c r="B465" t="s">
        <v>74</v>
      </c>
      <c r="C465">
        <v>0.106567</v>
      </c>
      <c r="D465">
        <v>0.299124</v>
      </c>
      <c r="E465">
        <v>4.6441489999999996</v>
      </c>
      <c r="F465">
        <v>-4.6196000000000001E-2</v>
      </c>
      <c r="G465">
        <v>29.369994999999999</v>
      </c>
      <c r="H465">
        <v>1.6278680000000001</v>
      </c>
      <c r="I465">
        <v>3.8430000000000001E-3</v>
      </c>
      <c r="J465">
        <v>5.6599999999999998E-2</v>
      </c>
      <c r="K465">
        <v>-0.40820000000000001</v>
      </c>
      <c r="L465">
        <v>-1160530</v>
      </c>
      <c r="M465">
        <v>-1596860</v>
      </c>
      <c r="N465">
        <v>1.5900000000000001E-2</v>
      </c>
      <c r="O465" s="6">
        <v>2.0299999999999999E-2</v>
      </c>
    </row>
    <row r="466" spans="1:15" x14ac:dyDescent="0.35">
      <c r="B466" t="s">
        <v>30</v>
      </c>
      <c r="C466">
        <v>-1.3644E-2</v>
      </c>
      <c r="D466">
        <v>0.33149099999999998</v>
      </c>
      <c r="E466">
        <v>-0.39382</v>
      </c>
      <c r="F466">
        <v>-6.5778000000000003E-2</v>
      </c>
      <c r="G466">
        <v>-0.34</v>
      </c>
      <c r="H466">
        <v>-0.29502400000000001</v>
      </c>
      <c r="I466">
        <v>-2.1499999999999999E-4</v>
      </c>
      <c r="J466">
        <v>4.6399999999999997E-2</v>
      </c>
      <c r="K466">
        <v>0.18240000000000001</v>
      </c>
      <c r="L466">
        <v>-10976470</v>
      </c>
      <c r="M466">
        <v>-5389980</v>
      </c>
      <c r="N466">
        <v>1.55E-2</v>
      </c>
      <c r="O466" s="6">
        <v>2.9700000000000001E-2</v>
      </c>
    </row>
    <row r="467" spans="1:15" x14ac:dyDescent="0.35">
      <c r="B467" t="s">
        <v>70</v>
      </c>
      <c r="C467">
        <v>8.3181000000000005E-2</v>
      </c>
      <c r="D467">
        <v>0.47291</v>
      </c>
      <c r="E467">
        <v>2.4630559999999999</v>
      </c>
      <c r="F467">
        <v>-7.4274000000000007E-2</v>
      </c>
      <c r="G467">
        <v>35.380004999999997</v>
      </c>
      <c r="H467">
        <v>1.380587</v>
      </c>
      <c r="I467">
        <v>3.2060000000000001E-3</v>
      </c>
      <c r="J467">
        <v>-5.0000000000000001E-3</v>
      </c>
      <c r="K467">
        <v>0.73650000000000004</v>
      </c>
      <c r="L467">
        <v>-130800</v>
      </c>
      <c r="M467">
        <v>-9380</v>
      </c>
      <c r="N467">
        <v>2.7000000000000001E-3</v>
      </c>
      <c r="O467" s="6">
        <v>-2.5399999999999999E-2</v>
      </c>
    </row>
    <row r="468" spans="1:15" x14ac:dyDescent="0.35">
      <c r="B468" t="s">
        <v>33</v>
      </c>
      <c r="C468">
        <v>8.3002999999999993E-2</v>
      </c>
      <c r="D468">
        <v>0.16286800000000001</v>
      </c>
      <c r="E468">
        <v>6.5826989999999999</v>
      </c>
      <c r="F468">
        <v>-7.6220000000000003E-3</v>
      </c>
      <c r="G468">
        <v>7.950005</v>
      </c>
      <c r="H468">
        <v>0.49880099999999999</v>
      </c>
      <c r="I468">
        <v>3.7429999999999998E-3</v>
      </c>
      <c r="J468">
        <v>5.3199999999999997E-2</v>
      </c>
      <c r="K468">
        <v>-0.28939999999999999</v>
      </c>
      <c r="L468">
        <v>-1878250</v>
      </c>
      <c r="M468">
        <v>-984360</v>
      </c>
      <c r="N468">
        <v>1.8700000000000001E-2</v>
      </c>
      <c r="O468" s="6">
        <v>3.5400000000000001E-2</v>
      </c>
    </row>
    <row r="469" spans="1:15" x14ac:dyDescent="0.35">
      <c r="B469" t="s">
        <v>28</v>
      </c>
      <c r="C469">
        <v>-0.16531399999999999</v>
      </c>
      <c r="D469">
        <v>0.50317000000000001</v>
      </c>
      <c r="E469">
        <v>-4.4971480000000001</v>
      </c>
      <c r="F469">
        <v>-0.20896300000000001</v>
      </c>
      <c r="G469">
        <v>-49.689987000000002</v>
      </c>
      <c r="H469">
        <v>2.2133699999999998</v>
      </c>
      <c r="I469">
        <v>-1.1249E-2</v>
      </c>
      <c r="J469">
        <v>5.5199999999999999E-2</v>
      </c>
      <c r="K469">
        <v>0.65639999999999998</v>
      </c>
      <c r="L469">
        <v>-2697680</v>
      </c>
      <c r="M469">
        <v>409340</v>
      </c>
      <c r="N469">
        <v>1.7100000000000001E-2</v>
      </c>
      <c r="O469" s="6">
        <v>1.5299999999999999E-2</v>
      </c>
    </row>
    <row r="470" spans="1:15" x14ac:dyDescent="0.35">
      <c r="B470" t="s">
        <v>63</v>
      </c>
      <c r="C470">
        <v>-3.9867E-2</v>
      </c>
      <c r="D470">
        <v>0.31956800000000002</v>
      </c>
      <c r="E470">
        <v>-1.533606</v>
      </c>
      <c r="F470">
        <v>-9.9123000000000003E-2</v>
      </c>
      <c r="G470">
        <v>-50.309936999999998</v>
      </c>
      <c r="H470">
        <v>1.0454589999999999</v>
      </c>
      <c r="I470">
        <v>-3.0170000000000002E-3</v>
      </c>
      <c r="J470">
        <v>4.58E-2</v>
      </c>
      <c r="K470">
        <v>1.0011000000000001</v>
      </c>
      <c r="L470">
        <v>310360</v>
      </c>
      <c r="M470">
        <v>250260</v>
      </c>
      <c r="N470">
        <v>2.87E-2</v>
      </c>
      <c r="O470" s="6">
        <v>8.0000000000000002E-3</v>
      </c>
    </row>
    <row r="471" spans="1:15" x14ac:dyDescent="0.35">
      <c r="B471" t="s">
        <v>68</v>
      </c>
      <c r="C471">
        <v>0.117233</v>
      </c>
      <c r="D471">
        <v>0.26636100000000001</v>
      </c>
      <c r="E471">
        <v>5.6611719999999996</v>
      </c>
      <c r="F471">
        <v>-3.8670000000000003E-2</v>
      </c>
      <c r="G471">
        <v>29.789992999999999</v>
      </c>
      <c r="H471">
        <v>0.75289700000000004</v>
      </c>
      <c r="I471">
        <v>5.2119999999999996E-3</v>
      </c>
      <c r="J471">
        <v>1.6799999999999999E-2</v>
      </c>
      <c r="K471">
        <v>0.41139999999999999</v>
      </c>
      <c r="L471">
        <v>-220780</v>
      </c>
      <c r="M471">
        <v>78900</v>
      </c>
      <c r="N471">
        <v>-1E-3</v>
      </c>
      <c r="O471" s="6">
        <v>-3.8699999999999998E-2</v>
      </c>
    </row>
    <row r="472" spans="1:15" x14ac:dyDescent="0.35">
      <c r="B472" t="s">
        <v>93</v>
      </c>
      <c r="C472">
        <v>1.421E-2</v>
      </c>
      <c r="D472">
        <v>0.30612299999999998</v>
      </c>
      <c r="E472">
        <v>0.756355</v>
      </c>
      <c r="F472">
        <v>-5.6466000000000002E-2</v>
      </c>
      <c r="G472">
        <v>2.8099980000000002</v>
      </c>
      <c r="H472">
        <v>0.69768200000000002</v>
      </c>
      <c r="I472">
        <v>2.03E-4</v>
      </c>
      <c r="J472">
        <v>1.7600000000000001E-2</v>
      </c>
      <c r="K472">
        <v>0.54879999999999995</v>
      </c>
      <c r="L472">
        <v>-175860</v>
      </c>
      <c r="M472">
        <v>-272020</v>
      </c>
      <c r="N472">
        <v>1.2200000000000001E-2</v>
      </c>
      <c r="O472" s="6">
        <v>5.1999999999999998E-3</v>
      </c>
    </row>
    <row r="473" spans="1:15" x14ac:dyDescent="0.35">
      <c r="B473" t="s">
        <v>80</v>
      </c>
      <c r="C473">
        <v>5.8536999999999999E-2</v>
      </c>
      <c r="D473">
        <v>0.194073</v>
      </c>
      <c r="E473">
        <v>3.9849480000000002</v>
      </c>
      <c r="F473">
        <v>-2.3002000000000002E-2</v>
      </c>
      <c r="G473">
        <v>3.9700009999999999</v>
      </c>
      <c r="H473">
        <v>1.4999199999999999</v>
      </c>
      <c r="I473">
        <v>1.531E-3</v>
      </c>
      <c r="J473">
        <v>6.9699999999999998E-2</v>
      </c>
      <c r="K473">
        <v>0.88280000000000003</v>
      </c>
      <c r="L473">
        <v>3630950</v>
      </c>
      <c r="M473">
        <v>2410800</v>
      </c>
      <c r="N473">
        <v>3.4700000000000002E-2</v>
      </c>
      <c r="O473" s="6">
        <v>2.06E-2</v>
      </c>
    </row>
    <row r="474" spans="1:15" x14ac:dyDescent="0.35">
      <c r="B474" t="s">
        <v>94</v>
      </c>
      <c r="C474">
        <v>0.10528</v>
      </c>
      <c r="D474">
        <v>0.27856900000000001</v>
      </c>
      <c r="E474">
        <v>4.9072190000000004</v>
      </c>
      <c r="F474">
        <v>-2.8426E-2</v>
      </c>
      <c r="G474">
        <v>16.509995</v>
      </c>
      <c r="H474">
        <v>0.40288200000000002</v>
      </c>
      <c r="I474">
        <v>5.0109999999999998E-3</v>
      </c>
      <c r="J474">
        <v>3.5900000000000001E-2</v>
      </c>
      <c r="K474">
        <v>0.38669999999999999</v>
      </c>
      <c r="L474">
        <v>-860430</v>
      </c>
      <c r="M474">
        <v>92500</v>
      </c>
      <c r="N474">
        <v>1.0999999999999999E-2</v>
      </c>
      <c r="O474" s="6">
        <v>2.8999999999999998E-3</v>
      </c>
    </row>
    <row r="475" spans="1:15" x14ac:dyDescent="0.35">
      <c r="B475" t="s">
        <v>31</v>
      </c>
      <c r="C475">
        <v>1.2522999999999999E-2</v>
      </c>
      <c r="D475">
        <v>0.160327</v>
      </c>
      <c r="E475">
        <v>1.1056010000000001</v>
      </c>
      <c r="F475">
        <v>-3.8248999999999998E-2</v>
      </c>
      <c r="G475">
        <v>0.86999499999999996</v>
      </c>
      <c r="H475">
        <v>-0.19603599999999999</v>
      </c>
      <c r="I475">
        <v>9.0399999999999996E-4</v>
      </c>
      <c r="J475">
        <v>2.1499999999999998E-2</v>
      </c>
      <c r="K475">
        <v>-1.0743</v>
      </c>
      <c r="L475">
        <v>85680</v>
      </c>
      <c r="M475">
        <v>-2640140</v>
      </c>
      <c r="N475">
        <v>9.7999999999999997E-3</v>
      </c>
      <c r="O475" s="6">
        <v>2.1299999999999999E-2</v>
      </c>
    </row>
    <row r="476" spans="1:15" x14ac:dyDescent="0.35">
      <c r="B476" t="s">
        <v>35</v>
      </c>
      <c r="C476">
        <v>2.6851E-2</v>
      </c>
      <c r="D476">
        <v>0.26397100000000001</v>
      </c>
      <c r="E476">
        <v>1.4566939999999999</v>
      </c>
      <c r="F476">
        <v>-6.3729999999999995E-2</v>
      </c>
      <c r="G476">
        <v>1.940002</v>
      </c>
      <c r="H476">
        <v>0.82716900000000004</v>
      </c>
      <c r="I476">
        <v>6.78E-4</v>
      </c>
      <c r="J476">
        <v>-5.7999999999999996E-3</v>
      </c>
      <c r="K476">
        <v>-0.10630000000000001</v>
      </c>
      <c r="L476">
        <v>-202600</v>
      </c>
      <c r="M476">
        <v>-541560</v>
      </c>
      <c r="N476">
        <v>-6.1000000000000004E-3</v>
      </c>
      <c r="O476" s="6">
        <v>-6.3E-3</v>
      </c>
    </row>
    <row r="478" spans="1:15" x14ac:dyDescent="0.35">
      <c r="A478" s="3"/>
      <c r="B478" s="3"/>
      <c r="C478" s="3"/>
      <c r="D478" s="3"/>
      <c r="E478" s="3"/>
      <c r="F478" s="3"/>
      <c r="G478" s="3" t="s">
        <v>118</v>
      </c>
      <c r="H478" s="3"/>
      <c r="I478" s="3"/>
      <c r="J478" s="3"/>
      <c r="K478" s="3"/>
      <c r="L478" s="3"/>
      <c r="M478" s="3"/>
      <c r="N478" s="3"/>
      <c r="O478" s="3"/>
    </row>
    <row r="531" s="3" customFormat="1" x14ac:dyDescent="0.35"/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Portfolio</vt:lpstr>
      <vt:lpstr>Portfolio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</dc:creator>
  <cp:lastModifiedBy>Sebastian M</cp:lastModifiedBy>
  <dcterms:created xsi:type="dcterms:W3CDTF">2025-05-27T18:56:12Z</dcterms:created>
  <dcterms:modified xsi:type="dcterms:W3CDTF">2025-08-20T02:26:46Z</dcterms:modified>
</cp:coreProperties>
</file>